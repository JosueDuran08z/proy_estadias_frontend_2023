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mquijasg\Dropbox\Jefatura Contable 2019\Publicación Titulo V\Trim 03.2019\"/>
    </mc:Choice>
  </mc:AlternateContent>
  <bookViews>
    <workbookView xWindow="-15" yWindow="0" windowWidth="15360" windowHeight="1650" tabRatio="749"/>
  </bookViews>
  <sheets>
    <sheet name="Caratula Resumen" sheetId="103" r:id="rId1"/>
    <sheet name="A Y  II D3" sheetId="98" r:id="rId2"/>
    <sheet name="A Y II D4" sheetId="30" r:id="rId3"/>
    <sheet name="B)" sheetId="92" r:id="rId4"/>
    <sheet name="II B) Y 1" sheetId="33" r:id="rId5"/>
    <sheet name="II C y 1_" sheetId="75" r:id="rId6"/>
    <sheet name="MOVIMIENTO DE PERSONAL POR CENT"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_FilterDatabase" localSheetId="0" hidden="1">'Caratula Resumen'!$C$23:$O$25</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 name="_xlnm.Print_Titles" localSheetId="6">'MOVIMIENTO DE PERSONAL POR CENT'!$1:$14</definedName>
  </definedNames>
  <calcPr calcId="162913"/>
</workbook>
</file>

<file path=xl/calcChain.xml><?xml version="1.0" encoding="utf-8"?>
<calcChain xmlns="http://schemas.openxmlformats.org/spreadsheetml/2006/main">
  <c r="H42" i="103" l="1"/>
  <c r="H8" i="95" l="1"/>
  <c r="P28" i="30" l="1"/>
  <c r="H38" i="103" l="1"/>
  <c r="L38" i="103"/>
  <c r="N38" i="103"/>
  <c r="H45" i="103"/>
  <c r="L45" i="103" s="1"/>
  <c r="T10" i="20" l="1"/>
  <c r="S10" i="20"/>
  <c r="B11" i="20"/>
  <c r="S10" i="23"/>
  <c r="T10" i="23"/>
  <c r="B11" i="23"/>
  <c r="B10" i="21"/>
  <c r="S9" i="21"/>
  <c r="R9" i="21"/>
  <c r="B10" i="18"/>
  <c r="H9" i="18"/>
  <c r="G9" i="18"/>
  <c r="B10" i="84"/>
  <c r="J9" i="84"/>
  <c r="B12" i="51"/>
  <c r="Q11" i="51"/>
  <c r="B10" i="48"/>
  <c r="B11" i="13"/>
  <c r="M10" i="13"/>
  <c r="L10" i="13"/>
  <c r="R9" i="12"/>
  <c r="Q9" i="12"/>
  <c r="B10" i="12"/>
  <c r="Q9" i="10"/>
  <c r="P9" i="10"/>
  <c r="B10" i="10"/>
  <c r="B9" i="95"/>
  <c r="V8" i="75"/>
  <c r="U8" i="75"/>
  <c r="B9" i="75"/>
  <c r="Y9" i="33"/>
  <c r="X9" i="33"/>
  <c r="B10" i="33"/>
  <c r="B10" i="92"/>
  <c r="R9" i="92"/>
  <c r="Q9" i="92"/>
  <c r="U9" i="30"/>
  <c r="T9" i="30"/>
  <c r="B10" i="30"/>
  <c r="C36" i="51" l="1"/>
  <c r="H47" i="103" s="1"/>
  <c r="D34" i="48"/>
  <c r="H46" i="103" s="1"/>
  <c r="L42" i="103" l="1"/>
  <c r="N42" i="103"/>
  <c r="B191" i="84"/>
  <c r="H48" i="103" s="1"/>
  <c r="M156" i="13" l="1"/>
  <c r="P45" i="103" s="1"/>
  <c r="C354" i="75"/>
  <c r="P354" i="75" l="1"/>
  <c r="H41" i="103"/>
  <c r="C356" i="33"/>
  <c r="L41" i="103" l="1"/>
  <c r="N41" i="103"/>
  <c r="H40" i="103"/>
  <c r="L40" i="103"/>
  <c r="N40" i="103"/>
  <c r="S11" i="20"/>
  <c r="R11" i="23"/>
  <c r="R10" i="21"/>
  <c r="H10" i="18"/>
  <c r="K10" i="84"/>
  <c r="R12" i="51"/>
  <c r="S10" i="48"/>
  <c r="M11" i="13"/>
  <c r="R10" i="12"/>
  <c r="P10" i="10"/>
  <c r="U9" i="75"/>
  <c r="X10" i="33"/>
  <c r="R10" i="92"/>
  <c r="U10" i="30"/>
  <c r="Y356" i="33" l="1"/>
  <c r="P40" i="103" s="1"/>
  <c r="P26" i="30" l="1"/>
  <c r="P38" i="103" s="1"/>
  <c r="N38" i="51" l="1"/>
  <c r="M37" i="51"/>
  <c r="L36" i="51"/>
  <c r="P35" i="48" l="1"/>
  <c r="O34" i="48"/>
  <c r="S34" i="48"/>
  <c r="V356" i="75"/>
  <c r="U354" i="75"/>
  <c r="P41" i="103" s="1"/>
</calcChain>
</file>

<file path=xl/comments1.xml><?xml version="1.0" encoding="utf-8"?>
<comments xmlns="http://schemas.openxmlformats.org/spreadsheetml/2006/main">
  <authors>
    <author xml:space="preserve">SEP - Artículo 73 LGCG </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shapeId="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shape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shapeId="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shapeId="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shapeId="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shapeId="0">
      <text>
        <r>
          <rPr>
            <b/>
            <sz val="9"/>
            <color indexed="81"/>
            <rFont val="Tahoma"/>
            <family val="2"/>
          </rPr>
          <t xml:space="preserve">SEP - Artículo 73 LGCG:
</t>
        </r>
        <r>
          <rPr>
            <sz val="9"/>
            <color indexed="81"/>
            <rFont val="Tahoma"/>
            <family val="2"/>
          </rPr>
          <t xml:space="preserve">
 Dias Naturales</t>
        </r>
      </text>
    </comment>
    <comment ref="F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shape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shape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shape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shapeId="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shapeId="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shapeId="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shapeId="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2" authorId="1"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
Importe Neto</t>
        </r>
      </text>
    </comment>
    <comment ref="H15" authorId="1" shapeId="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shape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shape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text>
        <r>
          <rPr>
            <b/>
            <sz val="9"/>
            <color indexed="81"/>
            <rFont val="Tahoma"/>
            <family val="2"/>
          </rPr>
          <t xml:space="preserve">SEP - Artículo 73 LGCG :
</t>
        </r>
        <r>
          <rPr>
            <sz val="9"/>
            <color indexed="81"/>
            <rFont val="Tahoma"/>
            <family val="2"/>
          </rPr>
          <t xml:space="preserve">
Total de horas compatibles
</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Nombre del Centro de Trabajo.</t>
        </r>
      </text>
    </comment>
    <comment ref="R14" authorId="2" shapeId="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<sst xmlns="http://schemas.openxmlformats.org/spreadsheetml/2006/main" count="6636" uniqueCount="1948">
  <si>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</si>
  <si>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</si>
  <si>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</si>
  <si>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</si>
  <si>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</si>
  <si>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</si>
  <si>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</si>
  <si>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</si>
  <si>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</si>
  <si>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</si>
  <si>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</si>
  <si>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</si>
  <si>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</si>
  <si>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</si>
  <si>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</si>
  <si>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</si>
  <si>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</si>
  <si>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</si>
  <si>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</si>
  <si>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</si>
  <si>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</si>
  <si>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</si>
  <si>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</si>
  <si>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</si>
  <si>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</si>
  <si>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</si>
  <si>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</si>
  <si>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</si>
  <si>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</si>
  <si>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</si>
  <si>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</si>
  <si>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</si>
  <si>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</si>
  <si>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</si>
  <si>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</si>
  <si>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</si>
  <si>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</si>
  <si>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</si>
  <si>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</si>
  <si>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</si>
  <si>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</si>
  <si>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</si>
  <si>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</si>
  <si>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</si>
  <si>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</si>
  <si>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</si>
  <si>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</si>
  <si>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</si>
  <si>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</si>
  <si>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</si>
  <si>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</si>
  <si>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</si>
  <si>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</si>
  <si>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</si>
  <si>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</si>
  <si>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</si>
  <si>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</si>
  <si>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</si>
  <si>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</si>
  <si>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</si>
  <si>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</si>
  <si>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</si>
  <si>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</si>
  <si>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</si>
  <si>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</si>
  <si>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</si>
  <si>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</si>
  <si>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</si>
  <si>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</si>
  <si>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</si>
  <si>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</si>
  <si>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</si>
  <si>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</si>
  <si>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</si>
  <si>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</si>
  <si>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</si>
  <si>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</si>
  <si>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</si>
  <si>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</si>
  <si>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</si>
  <si>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</si>
  <si>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</si>
  <si>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</si>
  <si>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</si>
  <si>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</si>
  <si>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</si>
  <si>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</si>
  <si>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</si>
  <si>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</si>
  <si>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</si>
  <si>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</si>
  <si>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</si>
  <si>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</si>
  <si>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</si>
  <si>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</si>
  <si>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</si>
  <si>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</si>
  <si>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</si>
  <si>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</si>
  <si>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</si>
  <si>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</si>
  <si>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</si>
  <si>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</si>
  <si>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</si>
  <si>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</si>
  <si>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</si>
  <si>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</si>
  <si>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</si>
  <si>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</si>
  <si>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</si>
  <si>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</si>
  <si>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</si>
  <si>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</si>
  <si>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</si>
  <si>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</si>
  <si>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</si>
  <si>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</si>
  <si>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</si>
  <si>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</si>
  <si>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</si>
  <si>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</si>
  <si>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</si>
  <si>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</si>
  <si>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</si>
  <si>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</si>
  <si>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</si>
  <si>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</si>
  <si>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</si>
  <si>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</si>
  <si>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</si>
  <si>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</si>
  <si>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</si>
  <si>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</si>
  <si>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</si>
  <si>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</si>
  <si>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</si>
  <si>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</si>
  <si>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</si>
  <si>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</si>
  <si>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</si>
  <si>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</si>
  <si>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</si>
  <si>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</si>
  <si>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</si>
  <si>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</si>
  <si>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</si>
  <si>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</si>
  <si>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</si>
  <si>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</si>
  <si>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</si>
  <si>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</si>
  <si>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</si>
  <si>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</si>
  <si>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</si>
  <si>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</si>
  <si>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</si>
  <si>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</si>
  <si>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</si>
  <si>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</si>
  <si>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</si>
  <si>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</si>
  <si>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</si>
  <si>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</si>
  <si>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</si>
  <si>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</si>
  <si>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</si>
  <si>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</si>
  <si>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</si>
  <si>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</si>
  <si>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</si>
  <si>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Nombbre</t>
  </si>
  <si>
    <t>Origen Presupuestal
 de la plazas</t>
  </si>
  <si>
    <t>Personal Comisionado</t>
  </si>
  <si>
    <t>Registro Federal de Contribuyentes de Trabajadores con Pagos Retroactivos con un Periodo Mayor a 45 días</t>
  </si>
  <si>
    <t>Plaza / Función</t>
  </si>
  <si>
    <t>Personal Federalizado por Registro Federal de Contribuyentes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</si>
  <si>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</si>
  <si>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</si>
  <si>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</si>
  <si>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</si>
  <si>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</si>
  <si>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</si>
  <si>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</si>
  <si>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</si>
  <si>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</si>
  <si>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</si>
  <si>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</si>
  <si>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</si>
  <si>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</si>
  <si>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</si>
  <si>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</si>
  <si>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</si>
  <si>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</si>
  <si>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</si>
  <si>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</si>
  <si>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</si>
  <si>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</si>
  <si>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</si>
  <si>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</si>
  <si>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</si>
  <si>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</si>
  <si>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</si>
  <si>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</si>
  <si>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</si>
  <si>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</si>
  <si>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</si>
  <si>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</si>
  <si>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</si>
  <si>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</si>
  <si>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</si>
  <si>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</si>
  <si>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</si>
  <si>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</si>
  <si>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</si>
  <si>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</si>
  <si>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</si>
  <si>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</si>
  <si>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</si>
  <si>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</si>
  <si>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</si>
  <si>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</si>
  <si>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</si>
  <si>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</si>
  <si>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</si>
  <si>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</si>
  <si>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</si>
  <si>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</si>
  <si>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</si>
  <si>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</si>
  <si>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</si>
  <si>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</si>
  <si>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</si>
  <si>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</si>
  <si>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</si>
  <si>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</si>
  <si>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</si>
  <si>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</si>
  <si>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</si>
  <si>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</si>
  <si>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</si>
  <si>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</si>
  <si>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</si>
  <si>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</si>
  <si>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</si>
  <si>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</si>
  <si>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</si>
  <si>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</si>
  <si>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</si>
  <si>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</si>
  <si>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</si>
  <si>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</si>
  <si>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</si>
  <si>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</si>
  <si>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</si>
  <si>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</si>
  <si>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</si>
  <si>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</si>
  <si>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</si>
  <si>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</si>
  <si>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</si>
  <si>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</si>
  <si>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</si>
  <si>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</si>
  <si>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</si>
  <si>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</si>
  <si>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</si>
  <si>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</si>
  <si>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</si>
  <si>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</si>
  <si>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</si>
  <si>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</si>
  <si>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</si>
  <si>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</si>
  <si>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</si>
  <si>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</si>
  <si>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</si>
  <si>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</si>
  <si>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</si>
  <si>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</si>
  <si>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</si>
  <si>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</si>
  <si>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</si>
  <si>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</si>
  <si>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</si>
  <si>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</si>
  <si>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</si>
  <si>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</si>
  <si>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</si>
  <si>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</si>
  <si>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</si>
  <si>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</si>
  <si>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</si>
  <si>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</si>
  <si>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</si>
  <si>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</si>
  <si>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</si>
  <si>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</si>
  <si>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</si>
  <si>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</si>
  <si>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</si>
  <si>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</si>
  <si>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</si>
  <si>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</si>
  <si>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</si>
  <si>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</si>
  <si>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</si>
  <si>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</si>
  <si>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</si>
  <si>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</si>
  <si>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</si>
  <si>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</si>
  <si>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</si>
  <si>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</si>
  <si>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</si>
  <si>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</si>
  <si>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</si>
  <si>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</si>
  <si>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</si>
  <si>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</si>
  <si>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</si>
  <si>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</si>
  <si>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</si>
  <si>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</si>
  <si>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</si>
  <si>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</si>
  <si>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</si>
  <si>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</si>
  <si>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</si>
  <si>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</si>
  <si>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</si>
  <si>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</si>
  <si>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</si>
  <si>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</si>
  <si>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</si>
  <si>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</si>
  <si>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</si>
  <si>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</si>
  <si>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</si>
  <si>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</si>
  <si>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</si>
  <si>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</si>
  <si>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</si>
  <si>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</si>
  <si>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</si>
  <si>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</si>
  <si>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</si>
  <si>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</si>
  <si>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</si>
  <si>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</si>
  <si>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</si>
  <si>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</si>
  <si>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</si>
  <si>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</si>
  <si>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</si>
  <si>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</si>
  <si>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</si>
  <si>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</si>
  <si>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</si>
  <si>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</si>
  <si>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</si>
  <si>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</si>
  <si>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</si>
  <si>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</si>
  <si>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</si>
  <si>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</si>
  <si>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</si>
  <si>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</si>
  <si>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</si>
  <si>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</si>
  <si>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</si>
  <si>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</si>
  <si>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</si>
  <si>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CALM860815G43</t>
  </si>
  <si>
    <t>CALM860815MJCHNY02</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</si>
  <si>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</si>
  <si>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</si>
  <si>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</si>
  <si>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</si>
  <si>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</si>
  <si>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</si>
  <si>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</si>
  <si>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</si>
  <si>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</si>
  <si>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</si>
  <si>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</si>
  <si>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</si>
  <si>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</si>
  <si>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</si>
  <si>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</si>
  <si>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</si>
  <si>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</si>
  <si>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</si>
  <si>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</si>
  <si>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</si>
  <si>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</si>
  <si>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</si>
  <si>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</si>
  <si>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</si>
  <si>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</si>
  <si>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</si>
  <si>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</si>
  <si>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</si>
  <si>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</si>
  <si>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</si>
  <si>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</si>
  <si>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</si>
  <si>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</si>
  <si>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</si>
  <si>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</si>
  <si>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</si>
  <si>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</si>
  <si>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</si>
  <si>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</si>
  <si>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</si>
  <si>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</si>
  <si>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</si>
  <si>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</si>
  <si>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</si>
  <si>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</si>
  <si>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</si>
  <si>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</si>
  <si>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</si>
  <si>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</si>
  <si>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</si>
  <si>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</si>
  <si>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</si>
  <si>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</si>
  <si>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</si>
  <si>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</si>
  <si>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</si>
  <si>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</si>
  <si>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</si>
  <si>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</si>
  <si>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</si>
  <si>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</si>
  <si>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</si>
  <si>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</si>
  <si>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</si>
  <si>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</si>
  <si>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</si>
  <si>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</si>
  <si>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</si>
  <si>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</si>
  <si>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</si>
  <si>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</si>
  <si>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</si>
  <si>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</si>
  <si>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</si>
  <si>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</si>
  <si>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</si>
  <si>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</si>
  <si>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</si>
  <si>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</si>
  <si>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</si>
  <si>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</si>
  <si>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</si>
  <si>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</si>
  <si>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</si>
  <si>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</si>
  <si>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</si>
  <si>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</si>
  <si>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</si>
  <si>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</si>
  <si>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</si>
  <si>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</si>
  <si>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</si>
  <si>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</si>
  <si>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</si>
  <si>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</si>
  <si>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</si>
  <si>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</si>
  <si>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</si>
  <si>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COOD541119637</t>
  </si>
  <si>
    <t>COOD541119MGTNRL00</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</si>
  <si>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</si>
  <si>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</si>
  <si>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</si>
  <si>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</si>
  <si>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</si>
  <si>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</si>
  <si>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</si>
  <si>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</si>
  <si>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</si>
  <si>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</si>
  <si>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</si>
  <si>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</si>
  <si>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</si>
  <si>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</si>
  <si>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</si>
  <si>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</si>
  <si>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</si>
  <si>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</si>
  <si>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</si>
  <si>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</si>
  <si>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</si>
  <si>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</si>
  <si>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</si>
  <si>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</si>
  <si>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</si>
  <si>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</si>
  <si>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</si>
  <si>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</si>
  <si>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</si>
  <si>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</si>
  <si>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</si>
  <si>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</si>
  <si>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</si>
  <si>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</si>
  <si>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</si>
  <si>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</si>
  <si>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</si>
  <si>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</si>
  <si>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</si>
  <si>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</si>
  <si>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</si>
  <si>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</si>
  <si>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</si>
  <si>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</si>
  <si>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</si>
  <si>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</si>
  <si>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</si>
  <si>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</si>
  <si>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</si>
  <si>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</si>
  <si>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</si>
  <si>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</si>
  <si>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</si>
  <si>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</si>
  <si>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</si>
  <si>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</si>
  <si>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</si>
  <si>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FICJ7603185H9</t>
  </si>
  <si>
    <t>FICT760318HGTRSR03</t>
  </si>
  <si>
    <t>ROSR7704116C6</t>
  </si>
  <si>
    <t>ROSR770411MGTDLS01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</si>
  <si>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</si>
  <si>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</si>
  <si>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</si>
  <si>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</si>
  <si>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</si>
  <si>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</si>
  <si>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</si>
  <si>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</si>
  <si>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</si>
  <si>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</si>
  <si>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</si>
  <si>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</si>
  <si>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</si>
  <si>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</si>
  <si>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</si>
  <si>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</si>
  <si>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</si>
  <si>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</si>
  <si>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</si>
  <si>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</si>
  <si>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</si>
  <si>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</si>
  <si>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RARC7011229A3</t>
  </si>
  <si>
    <t>RARC701122MGTNDR00</t>
  </si>
  <si>
    <t>AUTC7502082I3</t>
  </si>
  <si>
    <t>AUTC750208MGTGRN15</t>
  </si>
  <si>
    <t>LAMZ780504N49</t>
  </si>
  <si>
    <t>LAMZ780504MSLRNN01</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</si>
  <si>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</si>
  <si>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</si>
  <si>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</si>
  <si>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</si>
  <si>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</si>
  <si>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</si>
  <si>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</si>
  <si>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</si>
  <si>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</si>
  <si>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</si>
  <si>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</si>
  <si>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</si>
  <si>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</si>
  <si>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</si>
  <si>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</si>
  <si>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</si>
  <si>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</si>
  <si>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</si>
  <si>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</si>
  <si>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</si>
  <si>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</si>
  <si>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LAGG8705075P8</t>
  </si>
  <si>
    <t>LAGG870507MGTGRS08</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</si>
  <si>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</si>
  <si>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</si>
  <si>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</si>
  <si>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</si>
  <si>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</si>
  <si>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</si>
  <si>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</si>
  <si>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</si>
  <si>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</si>
  <si>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</si>
  <si>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</si>
  <si>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</si>
  <si>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</si>
  <si>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</si>
  <si>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</si>
  <si>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</si>
  <si>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</si>
  <si>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</si>
  <si>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</si>
  <si>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</si>
  <si>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</si>
  <si>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</si>
  <si>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</si>
  <si>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</si>
  <si>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</si>
  <si>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</si>
  <si>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</si>
  <si>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</si>
  <si>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</si>
  <si>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</si>
  <si>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</si>
  <si>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</si>
  <si>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</si>
  <si>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</si>
  <si>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GORD8312168D4</t>
  </si>
  <si>
    <t>GORD831216MGTMVL06</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</si>
  <si>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</si>
  <si>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</si>
  <si>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</si>
  <si>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</si>
  <si>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</si>
  <si>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</si>
  <si>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</si>
  <si>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</si>
  <si>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</si>
  <si>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</si>
  <si>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</si>
  <si>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</si>
  <si>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</si>
  <si>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</si>
  <si>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</si>
  <si>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</si>
  <si>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</si>
  <si>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</si>
  <si>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</si>
  <si>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</si>
  <si>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</si>
  <si>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</si>
  <si>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</si>
  <si>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</si>
  <si>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</si>
  <si>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</si>
  <si>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</si>
  <si>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</si>
  <si>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</si>
  <si>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</si>
  <si>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</si>
  <si>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</si>
  <si>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</si>
  <si>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</si>
  <si>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METC6212134V3</t>
  </si>
  <si>
    <t>METC621213HGTRPS06</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</si>
  <si>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</si>
  <si>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</si>
  <si>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</si>
  <si>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</si>
  <si>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</si>
  <si>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</si>
  <si>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</si>
  <si>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</si>
  <si>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</si>
  <si>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</si>
  <si>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</si>
  <si>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</si>
  <si>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</si>
  <si>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</si>
  <si>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</si>
  <si>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</si>
  <si>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</si>
  <si>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</si>
  <si>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</si>
  <si>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</si>
  <si>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</si>
  <si>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</si>
  <si>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</si>
  <si>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</si>
  <si>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</si>
  <si>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</si>
  <si>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CAEJ651225BV9</t>
  </si>
  <si>
    <t>CAEJ651225HVZHSS03</t>
  </si>
  <si>
    <t>AAGB8305061P7</t>
  </si>
  <si>
    <t>AAGB830506MGTYTR02</t>
  </si>
  <si>
    <t>GUSS6608135L6</t>
  </si>
  <si>
    <t>GUSS660813MGTRNF04</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</si>
  <si>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</si>
  <si>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</si>
  <si>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</si>
  <si>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</si>
  <si>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</si>
  <si>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</si>
  <si>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</si>
  <si>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</si>
  <si>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</si>
  <si>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</si>
  <si>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</si>
  <si>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</si>
  <si>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</si>
  <si>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</si>
  <si>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</si>
  <si>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</si>
  <si>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</si>
  <si>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ROSJ600516BL3</t>
  </si>
  <si>
    <t>ROSJ600516MGTBNN05</t>
  </si>
  <si>
    <t>JAAA741109NM2</t>
  </si>
  <si>
    <t>JAAA741109MGTSGL04</t>
  </si>
  <si>
    <t>COSL800716SL8</t>
  </si>
  <si>
    <t>COSL800716MGTRRD08</t>
  </si>
  <si>
    <t>CASE871206B31</t>
  </si>
  <si>
    <t>CASE871206HGTSND05</t>
  </si>
  <si>
    <t>CAGJ791209EN4</t>
  </si>
  <si>
    <t>CAGJ791209HGTRTR01</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</si>
  <si>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</si>
  <si>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</si>
  <si>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</si>
  <si>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</si>
  <si>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</si>
  <si>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</si>
  <si>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</si>
  <si>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</si>
  <si>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</si>
  <si>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</si>
  <si>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</si>
  <si>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</si>
  <si>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</si>
  <si>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</si>
  <si>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</si>
  <si>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</si>
  <si>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</si>
  <si>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</si>
  <si>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</si>
  <si>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</si>
  <si>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</si>
  <si>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</si>
  <si>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</si>
  <si>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</si>
  <si>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</si>
  <si>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ROVR580704ND4</t>
  </si>
  <si>
    <t>ROVR580704HVZXLB09</t>
  </si>
  <si>
    <t>REGJ781111QG6</t>
  </si>
  <si>
    <t>REGJ781111HGTYRN09</t>
  </si>
  <si>
    <t>LUGL7801215UA</t>
  </si>
  <si>
    <t>LUGL780121HGTNRS00</t>
  </si>
  <si>
    <t>LISA7512109V7</t>
  </si>
  <si>
    <t>LISA751210MGTRLN04</t>
  </si>
  <si>
    <t>HOHL860601124</t>
  </si>
  <si>
    <t>HOHL860601MGTRRZ09</t>
  </si>
  <si>
    <t>NIJV910312FZ6</t>
  </si>
  <si>
    <t>NIJV910312HDFTSC07</t>
  </si>
  <si>
    <t>JIAR5906097A6</t>
  </si>
  <si>
    <t>JIAR590609HVZMNB07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</si>
  <si>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</si>
  <si>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</si>
  <si>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</si>
  <si>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</si>
  <si>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</si>
  <si>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</si>
  <si>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</si>
  <si>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</si>
  <si>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</si>
  <si>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</si>
  <si>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</si>
  <si>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</si>
  <si>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</si>
  <si>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</si>
  <si>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</si>
  <si>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</si>
  <si>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</si>
  <si>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</si>
  <si>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</si>
  <si>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</si>
  <si>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</si>
  <si>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</si>
  <si>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</si>
  <si>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</si>
  <si>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</si>
  <si>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</si>
  <si>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</si>
  <si>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</si>
  <si>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</si>
  <si>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</si>
  <si>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</si>
  <si>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</si>
  <si>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</si>
  <si>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FALTAS</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</si>
  <si>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</si>
  <si>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</si>
  <si>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</si>
  <si>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</si>
  <si>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</si>
  <si>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</si>
  <si>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</si>
  <si>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</si>
  <si>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</si>
  <si>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</si>
  <si>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</si>
  <si>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</si>
  <si>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</si>
  <si>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</si>
  <si>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</si>
  <si>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</si>
  <si>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</si>
  <si>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</si>
  <si>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</si>
  <si>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</si>
  <si>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</si>
  <si>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</si>
  <si>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</si>
  <si>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</si>
  <si>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</si>
  <si>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LEGJ871018MGTDNN02</t>
  </si>
  <si>
    <t>MAGG810106MGTRNR04</t>
  </si>
  <si>
    <t>DUPS900126MGTRRN08</t>
  </si>
  <si>
    <t>NAMR8410165H3</t>
  </si>
  <si>
    <t>NAMR841016MGTVRS07</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</si>
  <si>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</si>
  <si>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</si>
  <si>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</si>
  <si>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</si>
  <si>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</si>
  <si>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</si>
  <si>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</si>
  <si>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</si>
  <si>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</si>
  <si>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</si>
  <si>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</si>
  <si>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</si>
  <si>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</si>
  <si>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</si>
  <si>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</si>
  <si>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</si>
  <si>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</si>
  <si>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</si>
  <si>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</si>
  <si>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</si>
  <si>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</si>
  <si>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</si>
  <si>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</si>
  <si>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</si>
  <si>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</si>
  <si>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</si>
  <si>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</si>
  <si>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</si>
  <si>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CAGK871023GK5</t>
  </si>
  <si>
    <t>CAGK871023MGTDDR07</t>
  </si>
  <si>
    <t>RERR850915EW0</t>
  </si>
  <si>
    <t>RERR850915HGTGDY04</t>
  </si>
  <si>
    <t>SIN GOCE DE SUELDO</t>
  </si>
  <si>
    <t>SIHC930621FS8</t>
  </si>
  <si>
    <t>SIHC930621MGTLRR01</t>
  </si>
  <si>
    <t>RASE881027V79</t>
  </si>
  <si>
    <t>RASE881027MGTMNL08</t>
  </si>
  <si>
    <t>GOLC950116TN4</t>
  </si>
  <si>
    <t>GOLC950116HGTMPR09</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</si>
  <si>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</si>
  <si>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</si>
  <si>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</si>
  <si>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</si>
  <si>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</si>
  <si>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</si>
  <si>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</si>
  <si>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</si>
  <si>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</si>
  <si>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</si>
  <si>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</si>
  <si>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</si>
  <si>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</si>
  <si>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</si>
  <si>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</si>
  <si>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</si>
  <si>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</si>
  <si>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</si>
  <si>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</si>
  <si>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</si>
  <si>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</si>
  <si>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</si>
  <si>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</si>
  <si>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</si>
  <si>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PIEA861225MB2</t>
  </si>
  <si>
    <t>PIEA861225MGTCSL06</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</si>
  <si>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</si>
  <si>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</si>
  <si>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</si>
  <si>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</si>
  <si>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</si>
  <si>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</si>
  <si>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</si>
  <si>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</si>
  <si>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</si>
  <si>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</si>
  <si>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</si>
  <si>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</si>
  <si>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</si>
  <si>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</si>
  <si>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</si>
  <si>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</si>
  <si>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</si>
  <si>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</si>
  <si>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</si>
  <si>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</si>
  <si>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</si>
  <si>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</si>
  <si>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PEJR701210KIA</t>
  </si>
  <si>
    <t>TECNICO SUPERIOR</t>
  </si>
  <si>
    <t>PROFESIONALIZACION D</t>
  </si>
  <si>
    <t>RETROACTIVO PROF. D</t>
  </si>
  <si>
    <t>SUELDO HOMOLOGADO</t>
  </si>
  <si>
    <t>CUENTAS POR COBRAR</t>
  </si>
  <si>
    <t>11EBS6627E</t>
  </si>
  <si>
    <t>Guanajuato</t>
  </si>
  <si>
    <t>RENTERIA PEREZ MARIA CONCEPCION</t>
  </si>
  <si>
    <t>SANCHEZ CARRASCO MA. ALEJANDRINA CARMEN</t>
  </si>
  <si>
    <t>VILLANUEVA LUNA RAMONA</t>
  </si>
  <si>
    <t>RICO RAMIREZ J.JESUS</t>
  </si>
  <si>
    <t>ROA VELAZQUEZ ROBERTO</t>
  </si>
  <si>
    <t>MARTINEZ GONZALEZ ESTEBAN</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</si>
  <si>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</si>
  <si>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</si>
  <si>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</si>
  <si>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</si>
  <si>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</si>
  <si>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</si>
  <si>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</si>
  <si>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</si>
  <si>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HERNANDEZ CARDENAS MARIA DEL ROSARIO</t>
  </si>
  <si>
    <t>BARRERA RODRIGUEZ ANTONIA</t>
  </si>
  <si>
    <t>GONZALEZ GARCIA LUIS ALBERTO</t>
  </si>
  <si>
    <t>OROZCO PEREZ MIGUEL</t>
  </si>
  <si>
    <t>MEDINA GALVAN GERARDO</t>
  </si>
  <si>
    <t>FLORES QUEVEDO PETRA</t>
  </si>
  <si>
    <t>VALENCIA QUIJAS J. GUADALUPE</t>
  </si>
  <si>
    <t>GUERRERO SANDOVAL SOFIA</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</si>
  <si>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</si>
  <si>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</si>
  <si>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</si>
  <si>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</si>
  <si>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</si>
  <si>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</si>
  <si>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</si>
  <si>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</si>
  <si>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</si>
  <si>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</si>
  <si>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</si>
  <si>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</si>
  <si>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</si>
  <si>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</si>
  <si>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</si>
  <si>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</si>
  <si>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</si>
  <si>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</si>
  <si>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</si>
  <si>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</si>
  <si>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</si>
  <si>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</si>
  <si>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</si>
  <si>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</si>
  <si>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</si>
  <si>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</si>
  <si>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</si>
  <si>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</si>
  <si>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</si>
  <si>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</si>
  <si>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</si>
  <si>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</si>
  <si>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</si>
  <si>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</si>
  <si>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</si>
  <si>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</si>
  <si>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</si>
  <si>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</si>
  <si>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</si>
  <si>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</si>
  <si>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</si>
  <si>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</si>
  <si>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</si>
  <si>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</si>
  <si>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</si>
  <si>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</si>
  <si>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</si>
  <si>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</si>
  <si>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</si>
  <si>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</si>
  <si>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</si>
  <si>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</si>
  <si>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</si>
  <si>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</si>
  <si>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</si>
  <si>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</si>
  <si>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</si>
  <si>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</si>
  <si>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</si>
  <si>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</si>
  <si>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</si>
  <si>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</si>
  <si>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</si>
  <si>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</si>
  <si>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</si>
  <si>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</si>
  <si>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</si>
  <si>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</si>
  <si>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</si>
  <si>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</si>
  <si>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HERNANDEZ MONTOYA MARISELA</t>
  </si>
  <si>
    <t>HERNANDEZ CANTERO ADRIANA</t>
  </si>
  <si>
    <t>RAMIREZ JARAMILLO CLAUDIA JACQUELINE</t>
  </si>
  <si>
    <t>RANGEL RODRIGUEZ MA. CARLOTA PATRICIA</t>
  </si>
  <si>
    <t>AGUILAR TIRADO MA. CONSUELO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</si>
  <si>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</si>
  <si>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</si>
  <si>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</si>
  <si>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</si>
  <si>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</si>
  <si>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</si>
  <si>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</si>
  <si>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</si>
  <si>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</si>
  <si>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</si>
  <si>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</si>
  <si>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</si>
  <si>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</si>
  <si>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</si>
  <si>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</si>
  <si>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</si>
  <si>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</si>
  <si>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</si>
  <si>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</si>
  <si>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</si>
  <si>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</si>
  <si>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</si>
  <si>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</si>
  <si>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</si>
  <si>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</si>
  <si>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</si>
  <si>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</si>
  <si>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</si>
  <si>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</si>
  <si>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</si>
  <si>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</si>
  <si>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</si>
  <si>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</si>
  <si>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</si>
  <si>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</si>
  <si>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</si>
  <si>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</si>
  <si>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</si>
  <si>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</si>
  <si>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</si>
  <si>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</si>
  <si>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</si>
  <si>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</si>
  <si>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</si>
  <si>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</si>
  <si>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</si>
  <si>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</si>
  <si>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</si>
  <si>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</si>
  <si>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</si>
  <si>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</si>
  <si>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</si>
  <si>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</si>
  <si>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</si>
  <si>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</si>
  <si>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</si>
  <si>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</si>
  <si>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</si>
  <si>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</si>
  <si>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</si>
  <si>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</si>
  <si>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</si>
  <si>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JIMENEZ DEL ANGEL ROBERTO</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</si>
  <si>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</si>
  <si>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</si>
  <si>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</si>
  <si>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</si>
  <si>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</si>
  <si>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</si>
  <si>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</si>
  <si>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</si>
  <si>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</si>
  <si>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</si>
  <si>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</si>
  <si>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</si>
  <si>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</si>
  <si>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</si>
  <si>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</si>
  <si>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</si>
  <si>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</si>
  <si>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LAGUNA GUERRERO GISELA</t>
  </si>
  <si>
    <t>SOLORZANO BERNAL FRANCISCO</t>
  </si>
  <si>
    <t>HELM710411QS6</t>
  </si>
  <si>
    <t>HERNANDEZ LEDESMA MARTHA ANGELICA</t>
  </si>
  <si>
    <t>CORTES SIERRA LIDIA CAROLINA</t>
  </si>
  <si>
    <t>RICO ROJAS ZAZIL</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</si>
  <si>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</si>
  <si>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</si>
  <si>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</si>
  <si>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</si>
  <si>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</si>
  <si>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</si>
  <si>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</si>
  <si>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</si>
  <si>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GUTIERREZ JORGE ADRIAN</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</si>
  <si>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</si>
  <si>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</si>
  <si>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</si>
  <si>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</si>
  <si>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</si>
  <si>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</si>
  <si>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</si>
  <si>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</si>
  <si>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</si>
  <si>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</si>
  <si>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</si>
  <si>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</si>
  <si>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</si>
  <si>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</si>
  <si>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</si>
  <si>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</si>
  <si>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</si>
  <si>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</si>
  <si>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</si>
  <si>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</si>
  <si>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</si>
  <si>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</si>
  <si>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PICON TORRES JONATHAN EDUARDO</t>
  </si>
  <si>
    <t>ARGOTE JUAREZ MARIO</t>
  </si>
  <si>
    <t>NAVARRO DURAN MARIA DEL PILAR</t>
  </si>
  <si>
    <t>CRUZ FUENTES CYNTHIA</t>
  </si>
  <si>
    <t>FLORES ALVAREZ PATRICIA</t>
  </si>
  <si>
    <t>MENDOZA MALDONADO SAMUEL</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</si>
  <si>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</si>
  <si>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</si>
  <si>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</si>
  <si>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</si>
  <si>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</si>
  <si>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</si>
  <si>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</si>
  <si>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</si>
  <si>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</si>
  <si>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</si>
  <si>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</si>
  <si>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</si>
  <si>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</si>
  <si>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REGALADO RODRIGUEZ JOSE REYES</t>
  </si>
  <si>
    <t>ROJAS GARCIA MARIA DE LOS ANGELES</t>
  </si>
  <si>
    <t>PALOMINO ENRIQUEZ BRIAN KEDWIN</t>
  </si>
  <si>
    <t>PEREZ ROCHA KARLA FERNANDA</t>
  </si>
  <si>
    <t>SALDAÑA ESTRADA SELMA ALEJANDRA</t>
  </si>
  <si>
    <t>SILVA HERNANDEZ CARMEN LAURA</t>
  </si>
  <si>
    <t>AVILA MACIAS FLOR SOFIA</t>
  </si>
  <si>
    <t>JARA ARRIAGA MARISOL IBETH</t>
  </si>
  <si>
    <t>CAMACHO PRADO ANA RUTH</t>
  </si>
  <si>
    <t>MARTINEZ CRUZ BRENDA ARACELI</t>
  </si>
  <si>
    <t>PEREZ JUAREZ RUBEN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</si>
  <si>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</si>
  <si>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</si>
  <si>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</si>
  <si>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</si>
  <si>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</si>
  <si>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</si>
  <si>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</si>
  <si>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</si>
  <si>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</si>
  <si>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</si>
  <si>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</si>
  <si>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</si>
  <si>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</si>
  <si>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</si>
  <si>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</si>
  <si>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ORNELAS LARA MARTINA</t>
  </si>
  <si>
    <t>TICH8812318M5</t>
  </si>
  <si>
    <t>TICH881231HGTNHG09</t>
  </si>
  <si>
    <t>TINAJERO CHAVEZ HUGO ARTURO</t>
  </si>
  <si>
    <t>MABR6903188Z5</t>
  </si>
  <si>
    <t>MABR690318MGTRRS05</t>
  </si>
  <si>
    <t>MARES BERMUDEZ ROSA MARIA</t>
  </si>
  <si>
    <t>MAOK821228CK5</t>
  </si>
  <si>
    <t>MAOK821228MSPRYR01</t>
  </si>
  <si>
    <t>MARTINEZ OYERVIDES KARLA MARISOL</t>
  </si>
  <si>
    <t>83101174T0382000.00</t>
  </si>
  <si>
    <t>033a</t>
  </si>
  <si>
    <t>DIA DEL NIÑO</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</si>
  <si>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</si>
  <si>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</si>
  <si>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</si>
  <si>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</si>
  <si>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</si>
  <si>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</si>
  <si>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</si>
  <si>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</si>
  <si>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</si>
  <si>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</si>
  <si>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</si>
  <si>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</si>
  <si>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</si>
  <si>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</si>
  <si>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</si>
  <si>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</si>
  <si>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</si>
  <si>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</si>
  <si>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022e</t>
  </si>
  <si>
    <t>022f</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</si>
  <si>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</si>
  <si>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</si>
  <si>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</si>
  <si>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</si>
  <si>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</si>
  <si>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</si>
  <si>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</si>
  <si>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</si>
  <si>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</si>
  <si>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</si>
  <si>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</si>
  <si>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</si>
  <si>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</si>
  <si>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</si>
  <si>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</si>
  <si>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</si>
  <si>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</si>
  <si>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</si>
  <si>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</si>
  <si>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</si>
  <si>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</si>
  <si>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</si>
  <si>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</si>
  <si>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</si>
  <si>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</si>
  <si>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</si>
  <si>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</si>
  <si>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</si>
  <si>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</si>
  <si>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</si>
  <si>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</si>
  <si>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</si>
  <si>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</si>
  <si>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</si>
  <si>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</si>
  <si>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</si>
  <si>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</si>
  <si>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023a</t>
  </si>
  <si>
    <t>SUBSIDIO AL EMPLEO</t>
  </si>
  <si>
    <t>015a</t>
  </si>
  <si>
    <t>GASTOS FUNERARIOS SAN RAFAEL</t>
  </si>
  <si>
    <t>014b</t>
  </si>
  <si>
    <t>DESCUENTO POR SUSPENSION</t>
  </si>
  <si>
    <t>022b</t>
  </si>
  <si>
    <t>022c</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</si>
  <si>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</si>
  <si>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</si>
  <si>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</si>
  <si>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</si>
  <si>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</si>
  <si>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</si>
  <si>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</si>
  <si>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</si>
  <si>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</si>
  <si>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</si>
  <si>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</si>
  <si>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</si>
  <si>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</si>
  <si>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</si>
  <si>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</si>
  <si>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</si>
  <si>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</si>
  <si>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</si>
  <si>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DESPENSA EXTRAORDINARIA</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</si>
  <si>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</si>
  <si>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</si>
  <si>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</si>
  <si>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</si>
  <si>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</si>
  <si>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</si>
  <si>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</si>
  <si>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</si>
  <si>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</si>
  <si>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</si>
  <si>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</si>
  <si>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</si>
  <si>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</si>
  <si>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</si>
  <si>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</si>
  <si>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</si>
  <si>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</si>
  <si>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</si>
  <si>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</si>
  <si>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</si>
  <si>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</si>
  <si>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</si>
  <si>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</si>
  <si>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</si>
  <si>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</si>
  <si>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</si>
  <si>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</si>
  <si>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</si>
  <si>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</si>
  <si>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</si>
  <si>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</si>
  <si>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</si>
  <si>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</si>
  <si>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</si>
  <si>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</si>
  <si>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</si>
  <si>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</si>
  <si>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</si>
  <si>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</si>
  <si>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</si>
  <si>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</si>
  <si>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</si>
  <si>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</si>
  <si>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</si>
  <si>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</si>
  <si>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</si>
  <si>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</si>
  <si>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</si>
  <si>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</si>
  <si>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</si>
  <si>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</si>
  <si>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 xml:space="preserve">ESTIMULO POR 10 AÑOS DE SERVICIO  </t>
  </si>
  <si>
    <t>017b</t>
  </si>
  <si>
    <t xml:space="preserve">ESTIMULO POR 15 AÑOS DE SERVICIO  </t>
  </si>
  <si>
    <t>017c</t>
  </si>
  <si>
    <t xml:space="preserve">ESTIMULO POR 20 AÑOS DE SERVICIO </t>
  </si>
  <si>
    <t>017d</t>
  </si>
  <si>
    <t xml:space="preserve">ESTIMULO POR 25 AÑOS DE SERVICIO  </t>
  </si>
  <si>
    <t>017e</t>
  </si>
  <si>
    <t xml:space="preserve">ESTIMULO POR 30 AÑOS DE SERVICIO  </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</si>
  <si>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</si>
  <si>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</si>
  <si>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</si>
  <si>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</si>
  <si>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</si>
  <si>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</si>
  <si>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</si>
  <si>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</si>
  <si>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</si>
  <si>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</si>
  <si>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</si>
  <si>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</si>
  <si>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</si>
  <si>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</si>
  <si>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</si>
  <si>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</si>
  <si>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</si>
  <si>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</si>
  <si>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</si>
  <si>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</si>
  <si>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</si>
  <si>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</si>
  <si>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</si>
  <si>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TERAN MEDINA YADIRA ELISA</t>
  </si>
  <si>
    <t>83101174T03820000.0</t>
  </si>
  <si>
    <t>LICENCIA ASUNTOS PERSONALES</t>
  </si>
  <si>
    <t>RANGEL OCHOA MARIBEL</t>
  </si>
  <si>
    <t>VAQJ581212JV2</t>
  </si>
  <si>
    <t>MOTE6904283LA</t>
  </si>
  <si>
    <t>MOTE690428MGTRRL09</t>
  </si>
  <si>
    <t>MORALES TORRES ELVIRA</t>
  </si>
  <si>
    <t>RAMIREZ DIAZ LUIS ALEJANDRO</t>
  </si>
  <si>
    <t>FRAUSTO ORTEGA JOSE ISAAC</t>
  </si>
  <si>
    <t>GOSR910123H36</t>
  </si>
  <si>
    <t>GOSR910123HGTNNC05</t>
  </si>
  <si>
    <t>GONZALEZ SANCHEZ RICARDO</t>
  </si>
  <si>
    <t>ROPD690404V35</t>
  </si>
  <si>
    <t>ROPD690404MGTCRL06</t>
  </si>
  <si>
    <t>ROCHA PEREZ MARIA DOLORES</t>
  </si>
  <si>
    <t>COORDINADOR REGIONAL/ ZONA</t>
  </si>
  <si>
    <t>GONZALEZ NIÑO DALIA SONIA</t>
  </si>
  <si>
    <t>CONTRERAS ORDUÑA DULCE MARIA ELIZABETH</t>
  </si>
  <si>
    <t>VILCHES NUÑEZ FRANCISCO ALFONSO</t>
  </si>
  <si>
    <t>BRICEÑO RUIZ LIBRADO</t>
  </si>
  <si>
    <t>COORDINADOR DE SERVICIOS ESPECIALIZADOS</t>
  </si>
  <si>
    <t>GUDIÑO ORDAZ MA. DE LOS ANGELES</t>
  </si>
  <si>
    <t>FRIAS CASTAÑEDA J. TRINIDAD</t>
  </si>
  <si>
    <t>VILLICAÑA GONZALEZ OSCAR JACOBO</t>
  </si>
  <si>
    <t>CORDOBA PATIÑO CARLOS ALBERTO</t>
  </si>
  <si>
    <t>OFICIAL DE SERVICIOS Y MANTENIMIENTO</t>
  </si>
  <si>
    <t>MUÑOZ HERRERA MARIA DOLORES</t>
  </si>
  <si>
    <t>ORTEGA GAMIÑO LAURA AMERICA</t>
  </si>
  <si>
    <t>PEÑALOZA CISNEROS CINTHYA</t>
  </si>
  <si>
    <t>DIRECTOR/DELEGADO</t>
  </si>
  <si>
    <t>LIRA SALDAÑA ANA ISABEL</t>
  </si>
  <si>
    <t>CASTAÑEDA ORNELAS MARIA CRUZ</t>
  </si>
  <si>
    <t>MARTINEZ NUÑEZ JOSE LUIS</t>
  </si>
  <si>
    <t>AGUADO NUÑEZ MARIA CRISTINA</t>
  </si>
  <si>
    <t>AMBRIZ MUÑOZ MARIANA</t>
  </si>
  <si>
    <t>CASTAÑEDA SAENZ JOSE EDUARDO</t>
  </si>
  <si>
    <t>CF21865</t>
  </si>
  <si>
    <t>PROFESIONAL DICTAMINADOR DE SERVICIOS ESPECIALIZADOS</t>
  </si>
  <si>
    <t>COORDINADOR DE ZONA II</t>
  </si>
  <si>
    <t>037a</t>
  </si>
  <si>
    <t>DIFERENCIA PRESTACIONES VARIAS</t>
  </si>
  <si>
    <t>001d</t>
  </si>
  <si>
    <t>DIFERENCIA DE SUELDO</t>
  </si>
  <si>
    <t>020b</t>
  </si>
  <si>
    <t>DIFERENCIA CAPACITACION Y DESARROLLO</t>
  </si>
  <si>
    <t>UTILES ESCOLAREA</t>
  </si>
  <si>
    <t>Total personas</t>
  </si>
  <si>
    <t>Total</t>
  </si>
  <si>
    <t>BXCA640430HGTLRN08</t>
  </si>
  <si>
    <t>PEJR701210HSLRRB08</t>
  </si>
  <si>
    <t>RARP730620RE1</t>
  </si>
  <si>
    <t>RARP730620MOCMXL03</t>
  </si>
  <si>
    <t>RAMIREZ DEL RIO PAULA GABRIELA</t>
  </si>
  <si>
    <t>JIRD9407185E8</t>
  </si>
  <si>
    <t>JIRD940718MGTMMN07</t>
  </si>
  <si>
    <t>JIMENEZ RAMIREZ DANIELA</t>
  </si>
  <si>
    <t>MOCF920813MF7</t>
  </si>
  <si>
    <t>MOCF920813MGTNMR00</t>
  </si>
  <si>
    <t>MONTECILLO CAMACHO MARIA FERNANDA</t>
  </si>
  <si>
    <t>PAGA670111I35</t>
  </si>
  <si>
    <t>PAGA670111HNTLRR03</t>
  </si>
  <si>
    <t>AGUINALDO DE SUELDO</t>
  </si>
  <si>
    <t>024b</t>
  </si>
  <si>
    <t>ESTIMULO POR AÑOS DE SERVICIO</t>
  </si>
  <si>
    <t>038a</t>
  </si>
  <si>
    <t>039a</t>
  </si>
  <si>
    <t>NOTAS BUENAS</t>
  </si>
  <si>
    <t>041a</t>
  </si>
  <si>
    <t>AGUINALDO EXENTO</t>
  </si>
  <si>
    <t>NESR960111AC1</t>
  </si>
  <si>
    <t>NESR960111HGTGLM02</t>
  </si>
  <si>
    <t>NEGRETE SOLANO RAMON GUILLERMO</t>
  </si>
  <si>
    <t>PEPC650316356</t>
  </si>
  <si>
    <t>PEPC650316HTSRRL07</t>
  </si>
  <si>
    <t>PEREZ PRIETO CLEMENTE</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</si>
  <si>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</si>
  <si>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</si>
  <si>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</si>
  <si>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</si>
  <si>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</si>
  <si>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</si>
  <si>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</si>
  <si>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</si>
  <si>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</si>
  <si>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</si>
  <si>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</si>
  <si>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</si>
  <si>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</si>
  <si>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GOGA8202147K2</t>
  </si>
  <si>
    <t>GOGA820214MGTMNL02</t>
  </si>
  <si>
    <t>GOMEZ GONZALEZ ALMA DELIA</t>
  </si>
  <si>
    <t>BAMV750720GL8</t>
  </si>
  <si>
    <t>BAMV750720MGTLDR01</t>
  </si>
  <si>
    <t>BALBINO MEDINA VERONICA</t>
  </si>
  <si>
    <t>042a</t>
  </si>
  <si>
    <t>VIATICOS</t>
  </si>
  <si>
    <t>043a</t>
  </si>
  <si>
    <t>043b</t>
  </si>
  <si>
    <t>044a</t>
  </si>
  <si>
    <t>044b</t>
  </si>
  <si>
    <t>045a</t>
  </si>
  <si>
    <t>046a</t>
  </si>
  <si>
    <t>046b</t>
  </si>
  <si>
    <t>047a</t>
  </si>
  <si>
    <t>047b</t>
  </si>
  <si>
    <t>048a</t>
  </si>
  <si>
    <t>048b</t>
  </si>
  <si>
    <t>050a</t>
  </si>
  <si>
    <t>022g</t>
  </si>
  <si>
    <t>022h</t>
  </si>
  <si>
    <t>BEGP870410RW2</t>
  </si>
  <si>
    <t>BEGP870410MGTCRL08</t>
  </si>
  <si>
    <t>BECERRA GUERRERO PAULINA DE LOS DOLORES</t>
  </si>
  <si>
    <t>HESO821117JX4</t>
  </si>
  <si>
    <t>HESO821117HDFRNT04</t>
  </si>
  <si>
    <t>HERNANDEZ SANTIAGO OTONIEL</t>
  </si>
  <si>
    <t>PAAA771008SHA</t>
  </si>
  <si>
    <t>PAAA771008HGTRRN00</t>
  </si>
  <si>
    <t>PRATZ ARANDA ANGEL ISRAEL ARAMIS</t>
  </si>
  <si>
    <t>RALA801116PN3</t>
  </si>
  <si>
    <t>RALA801116MGTMNN02</t>
  </si>
  <si>
    <t>RAMOS LUNAR ANA LAURA</t>
  </si>
  <si>
    <t>ROMM671216JF4</t>
  </si>
  <si>
    <t>ROMG671216MGTDRD10</t>
  </si>
  <si>
    <t>PRIMA VACACIONAL</t>
  </si>
  <si>
    <t>023g</t>
  </si>
  <si>
    <t>PRIMA VACACIONAL EXENTA</t>
  </si>
  <si>
    <t>044c</t>
  </si>
  <si>
    <t>044d</t>
  </si>
  <si>
    <t>047c</t>
  </si>
  <si>
    <t>INDEMINIZACION 90 DÍAS GRAVADO</t>
  </si>
  <si>
    <t>047d</t>
  </si>
  <si>
    <t>INDEMINIZACION 90 DÍAS EXENTO</t>
  </si>
  <si>
    <t>053a</t>
  </si>
  <si>
    <t>064a</t>
  </si>
  <si>
    <t>SALARIOS CAIDOS</t>
  </si>
  <si>
    <t>064b</t>
  </si>
  <si>
    <t>INTERESES POR SALARIOS CAIDOS</t>
  </si>
  <si>
    <t>040a</t>
  </si>
  <si>
    <t>DEVOLUCIONES VARIAS</t>
  </si>
  <si>
    <t xml:space="preserve">ISR ANUAL A CARGO </t>
  </si>
  <si>
    <t xml:space="preserve">DEVOLUCION DE CAPACITACION Y DESARROLLO </t>
  </si>
  <si>
    <t>071a</t>
  </si>
  <si>
    <t>DESCUENTO SUPENSION 2</t>
  </si>
  <si>
    <t>070a</t>
  </si>
  <si>
    <t>FALTAS 2</t>
  </si>
  <si>
    <t>070b</t>
  </si>
  <si>
    <t>FALTAS 3</t>
  </si>
  <si>
    <t>070c</t>
  </si>
  <si>
    <t>FALTAS (PRESTACIONES)</t>
  </si>
  <si>
    <t>071b</t>
  </si>
  <si>
    <t>DESCUENTO SUPENSION 3</t>
  </si>
  <si>
    <t>071c</t>
  </si>
  <si>
    <t>DESCUENTO SUPENSION 4</t>
  </si>
  <si>
    <t>PALOMARES GARCIA ARMANDO</t>
  </si>
  <si>
    <t>MASN8402267E1</t>
  </si>
  <si>
    <t>MASN840226HGTRNS16</t>
  </si>
  <si>
    <t>MARTINEZ SANCHEZ NESTOR DANIEL</t>
  </si>
  <si>
    <t>CUAS830330T16</t>
  </si>
  <si>
    <t>CUAS830330HGTRGL03</t>
  </si>
  <si>
    <t>CRUZ AGUIRRE SAULO DEL REY</t>
  </si>
  <si>
    <t>TOMA900802CA7</t>
  </si>
  <si>
    <t>TOMA900802HGTLXB09</t>
  </si>
  <si>
    <t>TOLENTINO MUÑIZ ABNER OBED</t>
  </si>
  <si>
    <t xml:space="preserve"> </t>
  </si>
  <si>
    <t>COORDINADOR DE ZONA</t>
  </si>
  <si>
    <t>CON GOCE DE SULEDO</t>
  </si>
  <si>
    <t>AUML720616RZ0</t>
  </si>
  <si>
    <t>AUML720616HVZGZS05</t>
  </si>
  <si>
    <t>AGUILERA MAZA LUIS ENRIQUE</t>
  </si>
  <si>
    <t>GUCL800302LS3</t>
  </si>
  <si>
    <t>GUCL800302MMNTRL02</t>
  </si>
  <si>
    <t>GUTIERREZ CRUZ LILY MONSERRAT</t>
  </si>
  <si>
    <t>VILF830214L48</t>
  </si>
  <si>
    <t>VILLA LANDAVERDE FRANK PIERRE</t>
  </si>
  <si>
    <t>PERD940214HA5</t>
  </si>
  <si>
    <t>PEHR870508FK6</t>
  </si>
  <si>
    <t>PEHR870508HGTRRC06</t>
  </si>
  <si>
    <t>83101174CF3601400.00</t>
  </si>
  <si>
    <t>008b</t>
  </si>
  <si>
    <t>PUNTUALIDAD ENERO</t>
  </si>
  <si>
    <t>008c</t>
  </si>
  <si>
    <t>PUNTUALIDAD FEBRERO</t>
  </si>
  <si>
    <t>008d</t>
  </si>
  <si>
    <t>PUNTUALIDAD MARZO</t>
  </si>
  <si>
    <t>008e</t>
  </si>
  <si>
    <t>PUNTUALIDAD ABRIL</t>
  </si>
  <si>
    <t>008f</t>
  </si>
  <si>
    <t>PUNTUALIDAD MAYO</t>
  </si>
  <si>
    <t>008g</t>
  </si>
  <si>
    <t>PUNTUALIDAD JUNIO</t>
  </si>
  <si>
    <t>008h</t>
  </si>
  <si>
    <t>PUNTUALIDAD JULIO</t>
  </si>
  <si>
    <t>008i</t>
  </si>
  <si>
    <t>PUNTUALIDAD AGOSTO</t>
  </si>
  <si>
    <t>008j</t>
  </si>
  <si>
    <t>PUNTUALIDAD SEPTIEMBRE</t>
  </si>
  <si>
    <t>008k</t>
  </si>
  <si>
    <t>PUNTUALIDAD OCTUBRE</t>
  </si>
  <si>
    <t>008l</t>
  </si>
  <si>
    <t>PUNTUALIDAD NOVIEMBRE</t>
  </si>
  <si>
    <t>008m</t>
  </si>
  <si>
    <t>PUNTUALIDAD DICIEMBRE</t>
  </si>
  <si>
    <t>PRIMA VACACIONAL C/M</t>
  </si>
  <si>
    <t>AGUINALDO DE COMPENSACION</t>
  </si>
  <si>
    <t>AYUDA DE TITULACION</t>
  </si>
  <si>
    <t>PRIMA ANTIGÜEDAD EXENTA 10 DIAS CCT</t>
  </si>
  <si>
    <t>PRIMA ANT GRAVADA CCT 10 DIAS</t>
  </si>
  <si>
    <t xml:space="preserve">REINTEGRO DE ISR  </t>
  </si>
  <si>
    <t>DEVOLUCION POR DESCUENTOS INDEBIDOS</t>
  </si>
  <si>
    <t>065a</t>
  </si>
  <si>
    <t>RETROACTIVO QUINQUENIO BASE</t>
  </si>
  <si>
    <t>066a</t>
  </si>
  <si>
    <t>RETROACTIVO QUINQUENIO CONFIANZA</t>
  </si>
  <si>
    <t>DEVOLUCION DE SUELDO</t>
  </si>
  <si>
    <t>CANF7410067U3</t>
  </si>
  <si>
    <t>CANF741006HGTRVL06</t>
  </si>
  <si>
    <t>CARREON NAVARRO FELIPE DE JESUS</t>
  </si>
  <si>
    <t>PACK951021F96</t>
  </si>
  <si>
    <t>PACK951021MGTLBR07</t>
  </si>
  <si>
    <t>PALOMARES CEBALLOS KARINA</t>
  </si>
  <si>
    <t>PORP851113B3A</t>
  </si>
  <si>
    <t>PORP851113HGTNYD00</t>
  </si>
  <si>
    <t>PONCE REYES PEDRO</t>
  </si>
  <si>
    <t>MAMA960109GD8</t>
  </si>
  <si>
    <t>MAMA960109MGTRNN07</t>
  </si>
  <si>
    <t>MARTINEZ MENDIOLA ANA KARINA</t>
  </si>
  <si>
    <t>DIZR940629LQ2</t>
  </si>
  <si>
    <t>DIZR940629HGTZVB00</t>
  </si>
  <si>
    <t>BIAA730817BQ1</t>
  </si>
  <si>
    <t>BIAA730817HGTRLR02</t>
  </si>
  <si>
    <t>BRISEÑO ALONSO ARMANDO</t>
  </si>
  <si>
    <t>INEA DELEGACION GUANAJUATO</t>
  </si>
  <si>
    <t>LICENCIA MEDICA</t>
  </si>
  <si>
    <t>VILF830214HGTLNR09</t>
  </si>
  <si>
    <t>AARN971005TN1</t>
  </si>
  <si>
    <t>AARN971005MGTLDN09</t>
  </si>
  <si>
    <t>ALVAREZ RODRIGUEZ NANCY GABRIELA</t>
  </si>
  <si>
    <t>VILA940923R82</t>
  </si>
  <si>
    <t>VILA940923MGTLPN02</t>
  </si>
  <si>
    <t>VILLANUEVA LOPEZ ANTONIA DEL ROCIO</t>
  </si>
  <si>
    <t>DIAZ ZAVALA RUBEN</t>
  </si>
  <si>
    <t>SAVJ850713NC6</t>
  </si>
  <si>
    <t>SAVJ850713MGTNGN04</t>
  </si>
  <si>
    <t>SANCHEZ VEGA JUANA AIDEE ABIGAIL</t>
  </si>
  <si>
    <t>TUHZ880405KP5</t>
  </si>
  <si>
    <t>TUHZ880405MGTRRR02</t>
  </si>
  <si>
    <t>LOCA7706076L8</t>
  </si>
  <si>
    <t>RODRIGUEZ MARMOLEJO MA. GUADALUPE</t>
  </si>
  <si>
    <t>VAAM950724LG5</t>
  </si>
  <si>
    <t>VAAM950724MGTZLY03</t>
  </si>
  <si>
    <t>VAZQUEZ ALAMILLA MAYRA CRISTINA</t>
  </si>
  <si>
    <t>RIVF791016H3A</t>
  </si>
  <si>
    <t>RIVF791016MGTCDB09</t>
  </si>
  <si>
    <t>RICO VIDAL FABIOLA</t>
  </si>
  <si>
    <t>TOVM831017DE9</t>
  </si>
  <si>
    <t>TOVM831017MGTRZR01</t>
  </si>
  <si>
    <t>TORRES VAZQUEZ MARGARITA DEL ROSARIO</t>
  </si>
  <si>
    <t>CAGM9408239J4</t>
  </si>
  <si>
    <t>CAGM940823MMNRRR01</t>
  </si>
  <si>
    <t>JAEX8607155F7</t>
  </si>
  <si>
    <t>JAEX860715MGTSSC07</t>
  </si>
  <si>
    <t>JASSO ESPINOZA XOCHITL DE LA LUZ</t>
  </si>
  <si>
    <t>JAPN851010TS0</t>
  </si>
  <si>
    <t>JAPN851010MDFSLN03</t>
  </si>
  <si>
    <t>JASSO PLATA NANCY</t>
  </si>
  <si>
    <t>LIPE8202127J2</t>
  </si>
  <si>
    <t>LIPE820212HGTGRD03</t>
  </si>
  <si>
    <t>MEFS941023GI9</t>
  </si>
  <si>
    <t>MEFS941023HGTDLL04</t>
  </si>
  <si>
    <t>MEDELLIN FLORES JOSE SAUL</t>
  </si>
  <si>
    <t>LOGM920223TF1</t>
  </si>
  <si>
    <t>LOGM920223HGTMDS03</t>
  </si>
  <si>
    <t>LOMELI GODINEZ MOISES</t>
  </si>
  <si>
    <t>SAPJ700215IJ1</t>
  </si>
  <si>
    <t>SAPJ700215HGTNRR03</t>
  </si>
  <si>
    <t>SAQR911217T20</t>
  </si>
  <si>
    <t>SAQR911217HGTLNM09</t>
  </si>
  <si>
    <t>SALDIVAR QUINTANA RAMON</t>
  </si>
  <si>
    <t>CAGX921022RV5</t>
  </si>
  <si>
    <t>CXGA921022MGTMRR04</t>
  </si>
  <si>
    <t>CAMPOS GARCIA ARACELI</t>
  </si>
  <si>
    <t>LOEL961209G67</t>
  </si>
  <si>
    <t>LOEL961209HGTPSS08</t>
  </si>
  <si>
    <t>LOPEZ ESPINOZA LUIS GERARDO</t>
  </si>
  <si>
    <t>83101174T0381000.00</t>
  </si>
  <si>
    <t>83101179CF3384900.00</t>
  </si>
  <si>
    <t>ANA BERTA LOPEZ CAMACHO</t>
  </si>
  <si>
    <t>PRIMA DE ANTIGUEDAD POR RENUNCIA EXENTA CONTRATO COLECTIVO</t>
  </si>
  <si>
    <t>PRIMA DE ANT. POR RENUNCIA GRAVADA CCT</t>
  </si>
  <si>
    <t>PRIMA DE ANTIGUEDAD POR RENUNCIA EXCENTA LFT</t>
  </si>
  <si>
    <t>PRIMA DE ANTIGUEDAD POR RENUNCIA GRAVADA LFT</t>
  </si>
  <si>
    <t>VACACIONES</t>
  </si>
  <si>
    <t>INDEMNIZACION 3 MESES GRAVADO</t>
  </si>
  <si>
    <t>INDEMNIZACON 3 MESES EXENTOS</t>
  </si>
  <si>
    <t>INDEMNIZACION 60 DIAS GRAVADOS</t>
  </si>
  <si>
    <t>INDEMNIZACION 60 DIAS EXCENTA</t>
  </si>
  <si>
    <t>INDEMNIZACIÓN 45 DÍAS GRAVADO</t>
  </si>
  <si>
    <t>INDEMNIZACIÓN 45 DÍAS EXENTO</t>
  </si>
  <si>
    <t>050b</t>
  </si>
  <si>
    <t>AJUSTE DE ISR</t>
  </si>
  <si>
    <t>SBCa</t>
  </si>
  <si>
    <t>SALARIO BASE DE COTIZACIÓN</t>
  </si>
  <si>
    <t>SDIa</t>
  </si>
  <si>
    <t>SALARIO DIARIO INTEGRADO</t>
  </si>
  <si>
    <t>INCAPACIDAD POR ENFERMEDAD GENERAL AL 0%  (SUELDO)</t>
  </si>
  <si>
    <t>INCAPACIDAD POR ENFERMEDAD GENERAL AL 0% (CAPACITACIÓN)</t>
  </si>
  <si>
    <t>INCAPACIDAD POR ENFERMEDAD GENERAL AL 0% (OTRAS PERCEPCIONES)</t>
  </si>
  <si>
    <t>INCAPACIDAD POR ENFERMEDAD GENERAL AL 50%  (SUELDO)</t>
  </si>
  <si>
    <t>INCAPACIDAD POR ENFERMEDAD GENERAL AL 50% (CAPACITACIÓN)</t>
  </si>
  <si>
    <t>INCAPACIDAD POR ENFERMEDAD GENERAL AL 50% (OTRAS PERCEPCIONES)</t>
  </si>
  <si>
    <t>INCAPACIDAD POR ENFERMEDAD GENERAL AL 50% (OTRAS PERCEPCIONES)2</t>
  </si>
  <si>
    <t>INCAPACIDAD POR ENFERMEDAD GENERAL AL 50% (OTRAS PERCEPCIONES)3</t>
  </si>
  <si>
    <t>ROZY8210113M6</t>
  </si>
  <si>
    <t>ROZY821011MGTJVS03</t>
  </si>
  <si>
    <t>ROJAS ZAVALA  YESENIA</t>
  </si>
  <si>
    <t>AEMM911029LK7</t>
  </si>
  <si>
    <t>AEMM911029HGTRRR04</t>
  </si>
  <si>
    <t>ARENAS MARTINEZ JOSE MARTIN</t>
  </si>
  <si>
    <t>PERD940212MQTRSN05</t>
  </si>
  <si>
    <t>PEREZ ROSALES DANIELA</t>
  </si>
  <si>
    <t>MOAA7003131U9</t>
  </si>
  <si>
    <t>MOAA700313MGTRLN00</t>
  </si>
  <si>
    <t>MORALES ALFARO MA DE LOS ANGELES</t>
  </si>
  <si>
    <t>RUVG950112NL8</t>
  </si>
  <si>
    <t>RUVG950112MGTZLD06</t>
  </si>
  <si>
    <t>RUIZ VALDEZ MARIA GUADALUPE</t>
  </si>
  <si>
    <t>EIMJ770109KS2</t>
  </si>
  <si>
    <t>EIMJ770109HGTSRN00</t>
  </si>
  <si>
    <t>AAVR790121SH8</t>
  </si>
  <si>
    <t>AAVR790121MGTLZS09</t>
  </si>
  <si>
    <t>ALVAREZ VAZQUEZ ROSA ELIA</t>
  </si>
  <si>
    <t>CUML841205JT3</t>
  </si>
  <si>
    <t>CUML841205HGTRRS00</t>
  </si>
  <si>
    <t>CRUZ MARTINEZ JOSE LUIS</t>
  </si>
  <si>
    <t>83101174T03810000.0</t>
  </si>
  <si>
    <t>MENC680926MGTDVR10</t>
  </si>
  <si>
    <t>CHAVEZ DE LEON MAYRA CAROLINA</t>
  </si>
  <si>
    <t>VICA970107H38</t>
  </si>
  <si>
    <t>VICA970107HGTLNX08</t>
  </si>
  <si>
    <t>VILCHES CANO AXEL GABRIEL</t>
  </si>
  <si>
    <t>LOXA770607MGTPMN09</t>
  </si>
  <si>
    <t>HECL9010298Y9</t>
  </si>
  <si>
    <t>HECL901029HGTRSS09</t>
  </si>
  <si>
    <t>GUVE880203AW3</t>
  </si>
  <si>
    <t>GUVE880203HGTVLD07</t>
  </si>
  <si>
    <t>GUEVARA VILLANUEVA EDUARDO</t>
  </si>
  <si>
    <t>PEDJ860424216</t>
  </si>
  <si>
    <t>PEDJ860424HGTRMN06</t>
  </si>
  <si>
    <t>MAMI8411062F7</t>
  </si>
  <si>
    <t>MAMI841106HMCRRV01</t>
  </si>
  <si>
    <t>MARTINEZ MORALES IVAN</t>
  </si>
  <si>
    <t>ZARM930219ER3</t>
  </si>
  <si>
    <t>ZARM930219MGTVZR00</t>
  </si>
  <si>
    <t>ZAVALA RAZO MARIA MARGARITA</t>
  </si>
  <si>
    <t>VIVG891226AU8</t>
  </si>
  <si>
    <t>VIVG891226MGTLLB09</t>
  </si>
  <si>
    <t>VILLAFAÑA VALENCIA GABRIELA</t>
  </si>
  <si>
    <t>SOCK710918TU8</t>
  </si>
  <si>
    <t>SOCK710918MDFSLR09</t>
  </si>
  <si>
    <t>SOSA COLIN KARLA SOFIA</t>
  </si>
  <si>
    <t>83101174A0180700.00</t>
  </si>
  <si>
    <t>LUIS ANGEL HERNANDEZ CISNEROS</t>
  </si>
  <si>
    <t>IAPA9409014P4</t>
  </si>
  <si>
    <t>IAPA940901MGTRXN01</t>
  </si>
  <si>
    <t>IRAZABA PIÑA ANGELICA</t>
  </si>
  <si>
    <t>3er. Trimestre 2019</t>
  </si>
  <si>
    <t>83101174T03803000.0</t>
  </si>
  <si>
    <t>83101174A01806000.0</t>
  </si>
  <si>
    <t>OEAM8303244JA</t>
  </si>
  <si>
    <t>OEAM830324HDFJSG06</t>
  </si>
  <si>
    <t>OJEDA ASCOBERETA MIGUEL ALONSO</t>
  </si>
  <si>
    <t>PERALTA DOMINGUEZ JUAN IGNACIO</t>
  </si>
  <si>
    <t>RABR970110443</t>
  </si>
  <si>
    <t>RABR970110MGTMTS07</t>
  </si>
  <si>
    <t>RAMIREZ BAUTISTA ROSALBA</t>
  </si>
  <si>
    <t>ESPINOZA MORALES J. JUAN</t>
  </si>
  <si>
    <t>MOOB780321QY6</t>
  </si>
  <si>
    <t>MOOB780321HGTRRN01</t>
  </si>
  <si>
    <t>MORENO ORNELAS BENITO</t>
  </si>
  <si>
    <t>BAMG900521TM0</t>
  </si>
  <si>
    <t>BAMG900521MGTNRD06</t>
  </si>
  <si>
    <t>BANDA MORENO MARIA GUADALUPE</t>
  </si>
  <si>
    <t>JURL9801077X3</t>
  </si>
  <si>
    <t>JURL980107MGTRDZ06</t>
  </si>
  <si>
    <t>JUAREZ RODRIGUEZ LIZBETH DE LA PAZ</t>
  </si>
  <si>
    <t>VAVP800617HSA</t>
  </si>
  <si>
    <t>VAVP800617MGTZLT09</t>
  </si>
  <si>
    <t>VAZQUEZ VELAZQUEZ PATRICIA ELIZABETH</t>
  </si>
  <si>
    <t>GOPJ8210132GA</t>
  </si>
  <si>
    <t>GOPJ821013HGTNDN05</t>
  </si>
  <si>
    <t>GONZALEZ PEDROZA JUAN MANUEL</t>
  </si>
  <si>
    <t>GUOL920428SC3</t>
  </si>
  <si>
    <t>GUOL920428HGTZRS05</t>
  </si>
  <si>
    <t>GUZMAN ORTIZ LUIS ENRIQUE</t>
  </si>
  <si>
    <t>VIDC930722KQ3</t>
  </si>
  <si>
    <t>VIDC930722HGTVRR06</t>
  </si>
  <si>
    <t>VIVIAN DURAN CARLOS SERGIO</t>
  </si>
  <si>
    <t>COMM810204RR0</t>
  </si>
  <si>
    <t>COMM810204MGTNRR05</t>
  </si>
  <si>
    <t>CONSTANTINO MARTINEZ MARTHA CRISTINA</t>
  </si>
  <si>
    <t>SULI9208184BA</t>
  </si>
  <si>
    <t>SULI920818HGTRNV07</t>
  </si>
  <si>
    <t>SUAREZ LUNA IVAN GERARDO</t>
  </si>
  <si>
    <t>CF20331</t>
  </si>
  <si>
    <t>63/001</t>
  </si>
  <si>
    <t>JESUS CHAGALA ESPEJO</t>
  </si>
  <si>
    <t>DULCE MARIA MONSERRAT GOMEZ RIVERA</t>
  </si>
  <si>
    <t>MIGUEL ALONSO OJEDA ASCOBERETA</t>
  </si>
  <si>
    <t>ZAIRA DE LA SALUD TRUJILLO HERNANDEZ</t>
  </si>
  <si>
    <t>83101172CF3384900.00</t>
  </si>
  <si>
    <t>MARIAJOSE CARRILLO GARDUÑO</t>
  </si>
  <si>
    <t>EDUARDO LIGAS PEREZ</t>
  </si>
  <si>
    <t>JORGE SANCHEZ PRECIADO</t>
  </si>
  <si>
    <t>ROSALBA RAMIREZ BAUTISTA</t>
  </si>
  <si>
    <t>J. JUAN  ESPINOZA MORALES</t>
  </si>
  <si>
    <t>BENITO MORENO ORNELAS</t>
  </si>
  <si>
    <t>MARIA GUADALUPE BANDA MORENO</t>
  </si>
  <si>
    <t>LIZBETH DE LA PAZ JUAREZ RODRIGUEZ</t>
  </si>
  <si>
    <t>PATRICIA ELIZABETH VAZQUEZ VELAZQUEZ</t>
  </si>
  <si>
    <t>JUAN MANUEL GONZALEZ PEDROZA</t>
  </si>
  <si>
    <t>LUIS ENRIQUE GUZMAN ORTIZ</t>
  </si>
  <si>
    <t>CARLOS SERGIO VIVIAN DURAN</t>
  </si>
  <si>
    <t>MARTHA CRISTINA CONSTANTINO MARTINEZ</t>
  </si>
  <si>
    <t>IVAN GERARDO SUAREZ LUNA</t>
  </si>
  <si>
    <t>RICARDO PEREZ HERRERA</t>
  </si>
  <si>
    <t>Lider de Proyecto</t>
  </si>
  <si>
    <t>TUZH880405MGTRRR02</t>
  </si>
  <si>
    <t>TRUJILLO HERNANDEZ ZAIRA DE LA SALUD</t>
  </si>
  <si>
    <t>Apoyo Juridico</t>
  </si>
  <si>
    <t>Apoyo Psicologico para Niños Proyecto 10-14</t>
  </si>
  <si>
    <t>Especialista Pedagogico</t>
  </si>
  <si>
    <t>Especialista en Ciencias Naturales</t>
  </si>
  <si>
    <t>Apoyo Nutricional</t>
  </si>
  <si>
    <t>Apoyo a Educandos</t>
  </si>
  <si>
    <t>Asesor de Direcion General</t>
  </si>
  <si>
    <t>ROCA780223GF9</t>
  </si>
  <si>
    <t>ROXC780223HNLBXR08</t>
  </si>
  <si>
    <t>ROBLES CAROS ALEJANDRO</t>
  </si>
  <si>
    <t>ROBLES CARLOS ALEJANDRO</t>
  </si>
  <si>
    <t>MOMA9308178KA</t>
  </si>
  <si>
    <t>MOMA930817MGTRRR07</t>
  </si>
  <si>
    <t>MORENO MARES ARACELI DEL SOCORRO</t>
  </si>
  <si>
    <t>VABK990301DX5</t>
  </si>
  <si>
    <t>VABK990301MGTZRR09</t>
  </si>
  <si>
    <t>VAZQUEZ BARRIENTOS KARLA LIZBETH</t>
  </si>
  <si>
    <t>Diseñador Digital</t>
  </si>
  <si>
    <t>QUAS7306189Z4</t>
  </si>
  <si>
    <t>QUAS730618MDFNCL13</t>
  </si>
  <si>
    <t>QUINTERO  ALBA MARIA DEL SOCORRO</t>
  </si>
  <si>
    <t>Apoyo de Incorporador</t>
  </si>
  <si>
    <t>SAMC9301113D9</t>
  </si>
  <si>
    <t>SAMC930111MGTRRR07</t>
  </si>
  <si>
    <t>SARDINA MORALES CRISTINA</t>
  </si>
  <si>
    <t>RAPN870511M93</t>
  </si>
  <si>
    <t>RAPN870511MGTMCN03</t>
  </si>
  <si>
    <t>RAMIREZ PACHECO NANSI</t>
  </si>
  <si>
    <t>OESC940604KF1</t>
  </si>
  <si>
    <t>OESC940604MGTLNY16</t>
  </si>
  <si>
    <t>OLVERA  SANDOVAL CYNTIA MAYELI</t>
  </si>
  <si>
    <t>GAJR790721CK5</t>
  </si>
  <si>
    <t>GAJR790721MDFRRC02</t>
  </si>
  <si>
    <t>GARCIA JUAREZ ROCIO</t>
  </si>
  <si>
    <t>VARR740318HH5</t>
  </si>
  <si>
    <t>VARR740318HGTLYM02</t>
  </si>
  <si>
    <t>VALADEZ REYES JOSE REMEDIOS</t>
  </si>
  <si>
    <t>MOFM6904232E0</t>
  </si>
  <si>
    <t>MOFM690423MGTNLR06</t>
  </si>
  <si>
    <t>MONTENEGRO FLORES MA. MARTINA</t>
  </si>
  <si>
    <t>NECL850521UT4</t>
  </si>
  <si>
    <t>NECL850521HGTRRS03</t>
  </si>
  <si>
    <t xml:space="preserve">NERI CARRILLO JOSE LUIS </t>
  </si>
  <si>
    <t>MEFE800903V75</t>
  </si>
  <si>
    <t>MEFE800903MGTNRR09</t>
  </si>
  <si>
    <t>MENDEZ FERNANDEZ ERIKA</t>
  </si>
  <si>
    <t>LOPH9305225D9</t>
  </si>
  <si>
    <t>LOPH930522HGTPRT08</t>
  </si>
  <si>
    <t>LOPEZ PEREZ HUITZILOPOCHTLI HUITZILIHUIT</t>
  </si>
  <si>
    <t>FORM860817EK3</t>
  </si>
  <si>
    <t>FORM860817HGTLSN08</t>
  </si>
  <si>
    <t>FLORES ROSAS MANUEL ALEJANDRO</t>
  </si>
  <si>
    <t>COAL690211478</t>
  </si>
  <si>
    <t>COAL690211MDFNVR08</t>
  </si>
  <si>
    <t>CONTRERAS AVILES LOURDES MARIA</t>
  </si>
  <si>
    <t>MARM940908I79</t>
  </si>
  <si>
    <t>MARM940908HGTNMS09</t>
  </si>
  <si>
    <t>MANCHA  RAMOS MISAEL</t>
  </si>
  <si>
    <t>MOTM7908115R9</t>
  </si>
  <si>
    <t>MOTM790811MGTLMR02</t>
  </si>
  <si>
    <t>MOLINA  TAMAYO MARINA</t>
  </si>
  <si>
    <t>TOMT700417931</t>
  </si>
  <si>
    <t>TOMT700417MGTVNR04</t>
  </si>
  <si>
    <t>TOVAR MENDOZA MARIA TERESA</t>
  </si>
  <si>
    <t>FOME830408AW8</t>
  </si>
  <si>
    <t>FOME830408MMCLNG09</t>
  </si>
  <si>
    <t>FLORES MANCILLA MARIA EUGENIA</t>
  </si>
  <si>
    <t>AAMB941015117</t>
  </si>
  <si>
    <t>AAMB941015HGTRXS07</t>
  </si>
  <si>
    <t>ARANDA MUÑOZ BASILIO DE JESUS</t>
  </si>
  <si>
    <t>HECO940822MU0</t>
  </si>
  <si>
    <t>HECO940822HGTRRR01</t>
  </si>
  <si>
    <t>HERNANDEZ CARREON ORLANDO</t>
  </si>
  <si>
    <t>TOMJ0005139G4</t>
  </si>
  <si>
    <t>TOMJ000513HGTRRSA9</t>
  </si>
  <si>
    <t>TORRES MARIN  JESUS</t>
  </si>
  <si>
    <t>ROML821223HL4</t>
  </si>
  <si>
    <t>ROML821212HGTSLS01</t>
  </si>
  <si>
    <t>ROSILES MELESIO LUIS DANIEL</t>
  </si>
  <si>
    <t>Apoyo de Aplicador</t>
  </si>
  <si>
    <t>SAAF010304CF4</t>
  </si>
  <si>
    <t>SAAF010304MGTVGRA5</t>
  </si>
  <si>
    <t>SAAVEDRA  AGUILAR  MARIA FERNANDA</t>
  </si>
  <si>
    <t>AEGA9507269Y1</t>
  </si>
  <si>
    <t>AEGA950726MGTCRN05</t>
  </si>
  <si>
    <t>ACEVEDO  GARCIA  ANA GABRIELA</t>
  </si>
  <si>
    <t>MACJ930720US9</t>
  </si>
  <si>
    <t>MACJ930720HGTRRS08</t>
  </si>
  <si>
    <t>MARTINEZ CARDONA JESUS ALBERTO</t>
  </si>
  <si>
    <t>HEZC901107PZ0</t>
  </si>
  <si>
    <t>HEZC901107HGTRVH01</t>
  </si>
  <si>
    <t>HERNANDEZ ZAVALA CHRISTIAN ISIDORO ADALBERTO</t>
  </si>
  <si>
    <t>FANE5408053A9</t>
  </si>
  <si>
    <t>FANE540805HGTRGM09</t>
  </si>
  <si>
    <t>FRAUSTO NEGRETE EMIGDIO</t>
  </si>
  <si>
    <t>LAPJ860807T43</t>
  </si>
  <si>
    <t>LAPJ860807MGTLRN06</t>
  </si>
  <si>
    <t>LLANO PEREZ JANETTE</t>
  </si>
  <si>
    <t>JURJ910913360</t>
  </si>
  <si>
    <t xml:space="preserve"> JURJ910913HGTRVN08</t>
  </si>
  <si>
    <t>JUAREZ RIVERA JUAN MANUEL</t>
  </si>
  <si>
    <t>MOVN901201E49</t>
  </si>
  <si>
    <t>MOVN901201MGTCRN04</t>
  </si>
  <si>
    <t>MOCTEZUMA  VARGAS NANCY VIRIDIANA</t>
  </si>
  <si>
    <t>AABR9707054M7</t>
  </si>
  <si>
    <t>AABR970705HGTLNB07</t>
  </si>
  <si>
    <t>ALFARO BONILLA RUBEN</t>
  </si>
  <si>
    <t>MAAD930308K40</t>
  </si>
  <si>
    <t>MAAD930308MGTRLL04</t>
  </si>
  <si>
    <t>MARTINEZ ALVAREZ MARIA DOLORES</t>
  </si>
  <si>
    <t>GARP690313RN1</t>
  </si>
  <si>
    <t>GARP690313HGTRMD08</t>
  </si>
  <si>
    <t>GARCIA RAMIREZ PEDRO</t>
  </si>
  <si>
    <t>HEHM890617V30</t>
  </si>
  <si>
    <t>HEHM890617MGTRRR02</t>
  </si>
  <si>
    <t>HERNANDEZ HERNANDEZ MARICELA</t>
  </si>
  <si>
    <t>GUCA8801277R9</t>
  </si>
  <si>
    <t>GUCA880127HJCTSD07</t>
  </si>
  <si>
    <t>GUTIERREZ CASTRO ADRIAN OMAR</t>
  </si>
  <si>
    <t>IAOG0010253Y8</t>
  </si>
  <si>
    <t>IAOG001025MGTBRDA5</t>
  </si>
  <si>
    <t>IBARRA ORTIZ MARIA GUADALUPE</t>
  </si>
  <si>
    <t>FOCS001027782</t>
  </si>
  <si>
    <t>FOCS001027MGTNLRA2</t>
  </si>
  <si>
    <t>FONSECA CALVILLO SARAHI MONSERRAT</t>
  </si>
  <si>
    <t>VABA970127NV7</t>
  </si>
  <si>
    <t>VABA970127HGTZLN06</t>
  </si>
  <si>
    <t>VAZQUEZ  BALTAZAR ANGEL DE JESUS</t>
  </si>
  <si>
    <t>MUGG591205NU6</t>
  </si>
  <si>
    <t>MUGG591205MMNXND06</t>
  </si>
  <si>
    <t>MUÑOZ GONZALEZ MA. GUADALUPE</t>
  </si>
  <si>
    <t>VEHU000206RM9</t>
  </si>
  <si>
    <t>VEHU000206HGTGRRA9</t>
  </si>
  <si>
    <t>VEGA HERNANDEZ URIEL ALEJANDRO</t>
  </si>
  <si>
    <t>RORG960418BL0</t>
  </si>
  <si>
    <t>RORG960418MGTMDD04</t>
  </si>
  <si>
    <t>ROMERO  RODRIGUEZ MARIA GUADALUPE</t>
  </si>
  <si>
    <t>GUMA720321VB4</t>
  </si>
  <si>
    <t>GUXM720321HGTTXN02</t>
  </si>
  <si>
    <t>GUTIERREZ JOSE MANUEL</t>
  </si>
  <si>
    <t>AIAE750407H87</t>
  </si>
  <si>
    <t>AIAE750407MDFRRV09</t>
  </si>
  <si>
    <t>ARVIZU ARVIZU EVA LILIANA</t>
  </si>
  <si>
    <t>MUÑOZ GONZALEZ MA GUADALUPE</t>
  </si>
  <si>
    <t>GOOA000801RR3</t>
  </si>
  <si>
    <t>GOOA000801MGTDRRA1</t>
  </si>
  <si>
    <t>GODINEZ ORTEGA ARELI BETZABE</t>
  </si>
  <si>
    <t>GORR630704TI6</t>
  </si>
  <si>
    <t>GORR630704MGTNYF05</t>
  </si>
  <si>
    <t>GONZALEZ  RAYA MA DEL REFUGIO</t>
  </si>
  <si>
    <t>QUGJ911110GWA</t>
  </si>
  <si>
    <t>QUGJ911110HGTNRN00</t>
  </si>
  <si>
    <t>QUINTERO GUERRA JONATHAN ROMARIO</t>
  </si>
  <si>
    <t>Columna1</t>
  </si>
  <si>
    <t>Columna2</t>
  </si>
  <si>
    <t>Nomina</t>
  </si>
  <si>
    <t>Clave de la Plaza</t>
  </si>
  <si>
    <t>Movimientos</t>
  </si>
  <si>
    <t>Nómina Ordinaria</t>
  </si>
  <si>
    <t>BAJA CCT</t>
  </si>
  <si>
    <t>ALTA CCT</t>
  </si>
  <si>
    <t>Formato: Movimientos de Personal Por CCT</t>
  </si>
  <si>
    <t>Entidad Federativa:    Guanajuato</t>
  </si>
  <si>
    <t>Movimientos de Personal Por Centro de Trabajo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</si>
</sst>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 numFmtId="169" formatCode="0000"/>
  </numFmts>
  <fonts count="87"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
      <b/>
      <i/>
      <sz val="14"/>
      <color theme="1"/>
      <name val="Calibri"/>
      <family val="2"/>
      <scheme val="minor"/>
    </font>
    <font>
      <b/>
      <sz val="13"/>
      <color theme="1"/>
      <name val="Calibri"/>
      <family val="2"/>
      <scheme val="minor"/>
    </font>
    <font>
      <sz val="11"/>
      <color theme="3" tint="-0.249977111117893"/>
      <name val="Calibri"/>
      <scheme val="minor"/>
    </font>
    <font>
      <sz val="11"/>
      <color theme="3" tint="-0.249977111117893"/>
      <name val="Calibri"/>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40">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474">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31" fillId="0" borderId="0" xfId="0" applyFont="1" applyAlignment="1">
      <alignment wrapText="1"/>
    </xf>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applyAlignment="1">
      <alignment horizontal="left" vertical="center"/>
    </xf>
    <xf numFmtId="0" fontId="45" fillId="0" borderId="0" xfId="0" applyFont="1"/>
    <xf numFmtId="0" fontId="44" fillId="0" borderId="0" xfId="0" applyFont="1"/>
    <xf numFmtId="0" fontId="46" fillId="0" borderId="0" xfId="0" applyFont="1"/>
    <xf numFmtId="0" fontId="46" fillId="0" borderId="0" xfId="0" applyFont="1" applyFill="1" applyBorder="1" applyAlignment="1">
      <alignment horizontal="center" vertical="center" wrapText="1"/>
    </xf>
    <xf numFmtId="0" fontId="47" fillId="0" borderId="0" xfId="0" applyFont="1"/>
    <xf numFmtId="0" fontId="47" fillId="0" borderId="0" xfId="0" applyFont="1" applyFill="1" applyBorder="1" applyAlignment="1">
      <alignment horizontal="center" vertical="center"/>
    </xf>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8" fillId="0" borderId="0" xfId="0" applyFont="1"/>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0" fillId="0" borderId="0" xfId="0" applyFont="1"/>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52" fillId="0" borderId="0" xfId="0" applyFont="1"/>
    <xf numFmtId="0" fontId="49" fillId="0" borderId="0" xfId="0" applyFont="1"/>
    <xf numFmtId="0" fontId="49" fillId="0" borderId="0" xfId="0" applyNumberFormat="1" applyFont="1"/>
    <xf numFmtId="0" fontId="53" fillId="0" borderId="0" xfId="0" applyFont="1"/>
    <xf numFmtId="0" fontId="53" fillId="0" borderId="0" xfId="0" applyFont="1" applyFill="1"/>
    <xf numFmtId="0" fontId="54" fillId="0" borderId="0" xfId="0" applyFont="1"/>
    <xf numFmtId="0" fontId="55" fillId="0" borderId="0" xfId="0" applyFont="1"/>
    <xf numFmtId="0" fontId="0" fillId="0" borderId="0" xfId="0" applyFill="1"/>
    <xf numFmtId="0" fontId="0" fillId="0" borderId="0" xfId="0" applyBorder="1"/>
    <xf numFmtId="0" fontId="56" fillId="0" borderId="0" xfId="0" applyFont="1" applyFill="1"/>
    <xf numFmtId="0" fontId="57" fillId="34" borderId="8" xfId="0" applyFont="1" applyFill="1" applyBorder="1" applyAlignment="1">
      <alignment horizontal="center" vertical="center" wrapText="1"/>
    </xf>
    <xf numFmtId="0" fontId="49" fillId="33" borderId="3" xfId="0" applyFont="1" applyFill="1" applyBorder="1"/>
    <xf numFmtId="0" fontId="53" fillId="0" borderId="0"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60" fillId="0" borderId="0" xfId="0" applyFont="1"/>
    <xf numFmtId="165" fontId="61" fillId="0" borderId="0" xfId="31" applyNumberFormat="1" applyFont="1" applyBorder="1" applyAlignment="1">
      <alignment horizontal="center" wrapText="1"/>
    </xf>
    <xf numFmtId="165" fontId="61" fillId="0" borderId="36" xfId="31" applyNumberFormat="1" applyFont="1" applyBorder="1" applyAlignment="1">
      <alignment horizontal="center" wrapText="1"/>
    </xf>
    <xf numFmtId="165" fontId="61" fillId="0" borderId="37" xfId="31" applyNumberFormat="1" applyFont="1" applyBorder="1" applyAlignment="1">
      <alignment horizontal="center" wrapText="1"/>
    </xf>
    <xf numFmtId="0" fontId="53" fillId="0" borderId="7" xfId="0" applyFont="1" applyFill="1" applyBorder="1"/>
    <xf numFmtId="0" fontId="52" fillId="0" borderId="9" xfId="0" applyFont="1" applyFill="1" applyBorder="1"/>
    <xf numFmtId="0" fontId="52" fillId="0" borderId="0" xfId="0" applyFont="1" applyFill="1" applyBorder="1"/>
    <xf numFmtId="0" fontId="53" fillId="0" borderId="1" xfId="0" applyFont="1" applyFill="1" applyBorder="1"/>
    <xf numFmtId="0" fontId="53" fillId="0" borderId="2" xfId="0" applyFont="1" applyFill="1" applyBorder="1"/>
    <xf numFmtId="0" fontId="53" fillId="0" borderId="3" xfId="0" applyFont="1" applyFill="1" applyBorder="1"/>
    <xf numFmtId="7" fontId="52" fillId="0" borderId="0" xfId="35" applyNumberFormat="1" applyFont="1" applyFill="1" applyBorder="1"/>
    <xf numFmtId="7" fontId="52" fillId="0" borderId="7" xfId="35" applyNumberFormat="1" applyFont="1" applyFill="1" applyBorder="1"/>
    <xf numFmtId="0" fontId="31" fillId="0" borderId="0" xfId="0" applyFont="1" applyFill="1" applyBorder="1"/>
    <xf numFmtId="0" fontId="0" fillId="0" borderId="0" xfId="0"/>
    <xf numFmtId="0" fontId="56" fillId="0" borderId="0" xfId="0" applyFont="1"/>
    <xf numFmtId="49" fontId="56" fillId="0" borderId="0" xfId="0" applyNumberFormat="1" applyFont="1" applyFill="1" applyBorder="1"/>
    <xf numFmtId="49" fontId="56" fillId="0" borderId="2" xfId="0" applyNumberFormat="1" applyFont="1" applyFill="1" applyBorder="1"/>
    <xf numFmtId="49" fontId="56" fillId="0" borderId="0" xfId="0" applyNumberFormat="1" applyFont="1" applyFill="1" applyBorder="1" applyAlignment="1">
      <alignment wrapText="1"/>
    </xf>
    <xf numFmtId="49" fontId="56" fillId="0" borderId="2" xfId="0" applyNumberFormat="1" applyFont="1" applyFill="1" applyBorder="1" applyAlignment="1">
      <alignment wrapText="1"/>
    </xf>
    <xf numFmtId="0" fontId="62" fillId="0" borderId="0" xfId="0" applyFont="1"/>
    <xf numFmtId="4" fontId="53" fillId="0" borderId="3" xfId="0" applyNumberFormat="1" applyFont="1" applyFill="1" applyBorder="1"/>
    <xf numFmtId="0" fontId="31" fillId="0" borderId="0" xfId="0" applyFont="1" applyFill="1" applyBorder="1" applyAlignment="1">
      <alignment wrapText="1"/>
    </xf>
    <xf numFmtId="0" fontId="57" fillId="0" borderId="0" xfId="0" applyFont="1" applyFill="1" applyBorder="1"/>
    <xf numFmtId="0" fontId="31" fillId="0" borderId="0" xfId="0" applyFont="1" applyProtection="1"/>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0" fillId="0" borderId="0" xfId="0" applyFont="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3"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62" fillId="0" borderId="2" xfId="0" applyFont="1" applyBorder="1"/>
    <xf numFmtId="0" fontId="64" fillId="0" borderId="5" xfId="0" applyFont="1" applyBorder="1" applyAlignment="1">
      <alignment horizontal="right"/>
    </xf>
    <xf numFmtId="0" fontId="59" fillId="0" borderId="0" xfId="0" applyFont="1"/>
    <xf numFmtId="0" fontId="57" fillId="0" borderId="9" xfId="0" applyFont="1" applyFill="1" applyBorder="1"/>
    <xf numFmtId="0" fontId="59" fillId="0" borderId="0" xfId="0" applyFont="1" applyFill="1" applyBorder="1"/>
    <xf numFmtId="0" fontId="59" fillId="0" borderId="7" xfId="0" applyFont="1" applyFill="1" applyBorder="1"/>
    <xf numFmtId="0" fontId="0" fillId="0" borderId="7" xfId="0" applyBorder="1"/>
    <xf numFmtId="0" fontId="0" fillId="0" borderId="9" xfId="0" applyBorder="1"/>
    <xf numFmtId="0" fontId="54" fillId="0" borderId="9" xfId="0" applyFont="1" applyFill="1" applyBorder="1"/>
    <xf numFmtId="0" fontId="54" fillId="0" borderId="0" xfId="0" applyFont="1" applyFill="1" applyBorder="1"/>
    <xf numFmtId="0" fontId="63" fillId="0" borderId="0" xfId="0" applyFont="1" applyFill="1" applyBorder="1"/>
    <xf numFmtId="0" fontId="63" fillId="0" borderId="7" xfId="0" applyFont="1" applyFill="1" applyBorder="1"/>
    <xf numFmtId="0" fontId="65" fillId="0" borderId="0" xfId="0" applyFont="1"/>
    <xf numFmtId="0" fontId="57" fillId="33" borderId="0" xfId="0" applyFont="1" applyFill="1" applyBorder="1"/>
    <xf numFmtId="166" fontId="57" fillId="33" borderId="0" xfId="33" applyNumberFormat="1" applyFont="1" applyFill="1" applyBorder="1"/>
    <xf numFmtId="0" fontId="57" fillId="0" borderId="0" xfId="0" applyFont="1" applyFill="1" applyBorder="1" applyAlignment="1"/>
    <xf numFmtId="0" fontId="0" fillId="0" borderId="0" xfId="0" applyBorder="1" applyAlignment="1">
      <alignment horizontal="center"/>
    </xf>
    <xf numFmtId="0" fontId="0" fillId="0" borderId="0" xfId="0" quotePrefix="1" applyBorder="1" applyAlignment="1">
      <alignment horizontal="center"/>
    </xf>
    <xf numFmtId="2" fontId="0" fillId="0" borderId="0" xfId="0" applyNumberFormat="1" applyBorder="1" applyAlignment="1">
      <alignment horizontal="center"/>
    </xf>
    <xf numFmtId="0" fontId="0" fillId="0" borderId="1" xfId="0" applyBorder="1"/>
    <xf numFmtId="0" fontId="64" fillId="0" borderId="2" xfId="0" applyFont="1" applyBorder="1" applyAlignment="1">
      <alignment horizontal="right"/>
    </xf>
    <xf numFmtId="0" fontId="64" fillId="0" borderId="2" xfId="0" applyFont="1" applyBorder="1" applyAlignment="1">
      <alignment horizontal="left" indent="3"/>
    </xf>
    <xf numFmtId="0" fontId="0" fillId="0" borderId="2" xfId="0" applyBorder="1"/>
    <xf numFmtId="0" fontId="0" fillId="0" borderId="2" xfId="0" quotePrefix="1" applyBorder="1" applyAlignment="1">
      <alignment horizontal="center"/>
    </xf>
    <xf numFmtId="0" fontId="0" fillId="0" borderId="2" xfId="0" applyBorder="1" applyAlignment="1">
      <alignment horizontal="center"/>
    </xf>
    <xf numFmtId="0" fontId="64" fillId="0" borderId="2" xfId="0" applyFont="1" applyBorder="1" applyAlignment="1">
      <alignment horizontal="center"/>
    </xf>
    <xf numFmtId="2" fontId="64" fillId="0" borderId="3" xfId="0" applyNumberFormat="1" applyFont="1" applyBorder="1" applyAlignment="1">
      <alignment horizontal="right"/>
    </xf>
    <xf numFmtId="0" fontId="57"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7"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6" fillId="0" borderId="6" xfId="0" applyFont="1" applyFill="1" applyBorder="1"/>
    <xf numFmtId="0" fontId="10" fillId="0" borderId="9" xfId="0" applyFont="1" applyFill="1" applyBorder="1" applyAlignment="1">
      <alignment horizontal="center"/>
    </xf>
    <xf numFmtId="0" fontId="66"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6" fillId="0" borderId="3" xfId="0" applyFont="1" applyFill="1" applyBorder="1"/>
    <xf numFmtId="166" fontId="57" fillId="33" borderId="7" xfId="33" applyNumberFormat="1" applyFont="1" applyFill="1" applyBorder="1"/>
    <xf numFmtId="166" fontId="57" fillId="0" borderId="0" xfId="33" applyNumberFormat="1" applyFont="1" applyFill="1" applyBorder="1"/>
    <xf numFmtId="166" fontId="57"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7" fillId="0" borderId="0" xfId="35" applyNumberFormat="1" applyFont="1" applyFill="1" applyBorder="1"/>
    <xf numFmtId="0" fontId="59" fillId="0" borderId="2" xfId="0" applyFont="1" applyFill="1" applyBorder="1"/>
    <xf numFmtId="0" fontId="59" fillId="0" borderId="3" xfId="0" applyFont="1" applyFill="1" applyBorder="1"/>
    <xf numFmtId="49" fontId="56" fillId="0" borderId="4" xfId="0" applyNumberFormat="1" applyFont="1" applyFill="1" applyBorder="1"/>
    <xf numFmtId="49" fontId="56" fillId="0" borderId="5" xfId="0" applyNumberFormat="1" applyFont="1" applyFill="1" applyBorder="1"/>
    <xf numFmtId="49" fontId="56" fillId="0" borderId="5" xfId="0" applyNumberFormat="1" applyFont="1" applyFill="1" applyBorder="1" applyAlignment="1">
      <alignment wrapText="1"/>
    </xf>
    <xf numFmtId="49" fontId="56" fillId="0" borderId="6" xfId="0" applyNumberFormat="1" applyFont="1" applyFill="1" applyBorder="1"/>
    <xf numFmtId="49" fontId="56" fillId="0" borderId="9" xfId="0" applyNumberFormat="1" applyFont="1" applyFill="1" applyBorder="1"/>
    <xf numFmtId="49" fontId="56" fillId="0" borderId="7" xfId="0" applyNumberFormat="1" applyFont="1" applyFill="1" applyBorder="1"/>
    <xf numFmtId="49" fontId="56" fillId="0" borderId="1" xfId="0" applyNumberFormat="1" applyFont="1" applyFill="1" applyBorder="1"/>
    <xf numFmtId="49" fontId="56" fillId="0" borderId="3" xfId="0" applyNumberFormat="1" applyFont="1" applyFill="1" applyBorder="1"/>
    <xf numFmtId="49" fontId="57" fillId="0" borderId="5" xfId="0" applyNumberFormat="1" applyFont="1" applyFill="1" applyBorder="1"/>
    <xf numFmtId="49" fontId="57"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7" fillId="0" borderId="5" xfId="0" applyFont="1" applyFill="1" applyBorder="1" applyAlignment="1">
      <alignment horizontal="right" wrapText="1"/>
    </xf>
    <xf numFmtId="0" fontId="57" fillId="0" borderId="5" xfId="0" applyFont="1" applyFill="1" applyBorder="1"/>
    <xf numFmtId="0" fontId="56" fillId="0" borderId="6" xfId="0" applyFont="1" applyFill="1" applyBorder="1"/>
    <xf numFmtId="0" fontId="57" fillId="0" borderId="0" xfId="0" applyFont="1" applyFill="1" applyBorder="1" applyAlignment="1">
      <alignment horizontal="right" wrapText="1"/>
    </xf>
    <xf numFmtId="0" fontId="56" fillId="0" borderId="7" xfId="0" applyFont="1" applyFill="1" applyBorder="1"/>
    <xf numFmtId="0" fontId="56" fillId="0" borderId="2" xfId="0" applyFont="1" applyBorder="1"/>
    <xf numFmtId="0" fontId="57" fillId="0" borderId="2" xfId="0" applyFont="1" applyFill="1" applyBorder="1" applyAlignment="1">
      <alignment horizontal="right" wrapText="1"/>
    </xf>
    <xf numFmtId="0" fontId="57" fillId="0" borderId="2" xfId="0" applyFont="1" applyFill="1" applyBorder="1"/>
    <xf numFmtId="0" fontId="57" fillId="36" borderId="0" xfId="0" applyFont="1" applyFill="1" applyBorder="1"/>
    <xf numFmtId="0" fontId="0" fillId="36" borderId="0" xfId="0" applyFill="1"/>
    <xf numFmtId="0" fontId="52" fillId="0" borderId="2" xfId="0" applyFont="1" applyBorder="1"/>
    <xf numFmtId="0" fontId="49" fillId="0" borderId="2" xfId="0" applyFont="1" applyBorder="1"/>
    <xf numFmtId="0" fontId="49" fillId="0" borderId="2" xfId="0" applyNumberFormat="1" applyFont="1" applyBorder="1"/>
    <xf numFmtId="0" fontId="53" fillId="0" borderId="2" xfId="0" applyFont="1" applyBorder="1"/>
    <xf numFmtId="0" fontId="53" fillId="0" borderId="3" xfId="0" applyFont="1" applyBorder="1"/>
    <xf numFmtId="0" fontId="31" fillId="36" borderId="0" xfId="0" applyFont="1" applyFill="1"/>
    <xf numFmtId="0" fontId="31" fillId="0" borderId="1" xfId="0" applyFont="1" applyBorder="1"/>
    <xf numFmtId="166" fontId="67" fillId="0" borderId="0" xfId="33" applyNumberFormat="1" applyFont="1" applyBorder="1" applyAlignment="1">
      <alignment horizontal="center" vertic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7" fillId="35" borderId="10"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54" fillId="33" borderId="10" xfId="0" applyFont="1" applyFill="1" applyBorder="1" applyAlignment="1">
      <alignment horizontal="center" vertical="center" wrapText="1"/>
    </xf>
    <xf numFmtId="166" fontId="57" fillId="0" borderId="7" xfId="35" applyNumberFormat="1" applyFont="1" applyFill="1" applyBorder="1"/>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8" fillId="0" borderId="0" xfId="0" applyFont="1"/>
    <xf numFmtId="0" fontId="69" fillId="0" borderId="0" xfId="0" applyFont="1"/>
    <xf numFmtId="0" fontId="69" fillId="36" borderId="0" xfId="0" applyFont="1" applyFill="1"/>
    <xf numFmtId="0" fontId="14" fillId="0" borderId="0" xfId="0" applyFont="1"/>
    <xf numFmtId="0" fontId="69" fillId="0" borderId="0" xfId="0" applyNumberFormat="1" applyFont="1"/>
    <xf numFmtId="166" fontId="57" fillId="33" borderId="5" xfId="33" applyNumberFormat="1" applyFont="1" applyFill="1" applyBorder="1"/>
    <xf numFmtId="4" fontId="56" fillId="0" borderId="2" xfId="0" applyNumberFormat="1" applyFont="1" applyFill="1" applyBorder="1"/>
    <xf numFmtId="4" fontId="57" fillId="0" borderId="5" xfId="0" applyNumberFormat="1" applyFont="1" applyFill="1" applyBorder="1"/>
    <xf numFmtId="4" fontId="57" fillId="0" borderId="0" xfId="0"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56" fillId="0" borderId="0" xfId="0" applyFont="1" applyAlignment="1">
      <alignment horizontal="right"/>
    </xf>
    <xf numFmtId="0" fontId="69" fillId="36" borderId="2" xfId="0" applyFont="1" applyFill="1" applyBorder="1"/>
    <xf numFmtId="0" fontId="14" fillId="0" borderId="2" xfId="0" applyFont="1" applyBorder="1"/>
    <xf numFmtId="0" fontId="69" fillId="0" borderId="2" xfId="0" applyFont="1" applyFill="1" applyBorder="1"/>
    <xf numFmtId="0" fontId="70"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7" fillId="33" borderId="0" xfId="33" applyNumberFormat="1" applyFont="1" applyFill="1" applyBorder="1"/>
    <xf numFmtId="0" fontId="57" fillId="0" borderId="9" xfId="0" applyFont="1" applyFill="1" applyBorder="1" applyAlignment="1">
      <alignment horizontal="right"/>
    </xf>
    <xf numFmtId="0" fontId="0" fillId="0" borderId="0" xfId="0"/>
    <xf numFmtId="0" fontId="31" fillId="0" borderId="0" xfId="0" applyFont="1"/>
    <xf numFmtId="0" fontId="57" fillId="0" borderId="0" xfId="0" applyFont="1" applyFill="1" applyBorder="1" applyAlignment="1">
      <alignment horizontal="right"/>
    </xf>
    <xf numFmtId="166" fontId="57" fillId="0" borderId="0" xfId="33" applyNumberFormat="1" applyFont="1" applyFill="1" applyBorder="1"/>
    <xf numFmtId="166" fontId="57" fillId="0" borderId="7" xfId="33" applyNumberFormat="1" applyFont="1" applyFill="1" applyBorder="1"/>
    <xf numFmtId="0" fontId="51" fillId="33" borderId="0" xfId="0" applyFont="1" applyFill="1" applyBorder="1" applyAlignment="1" applyProtection="1"/>
    <xf numFmtId="0" fontId="35" fillId="0" borderId="5" xfId="0" applyFont="1" applyFill="1" applyBorder="1" applyAlignment="1">
      <alignment horizontal="center"/>
    </xf>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51" fillId="33" borderId="5" xfId="0" applyFont="1" applyFill="1" applyBorder="1" applyAlignment="1">
      <alignment horizontal="right"/>
    </xf>
    <xf numFmtId="0" fontId="51" fillId="0" borderId="0" xfId="0" applyFont="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52" fillId="0" borderId="0" xfId="0" applyFont="1" applyBorder="1"/>
    <xf numFmtId="168" fontId="13" fillId="33" borderId="0" xfId="33" applyNumberFormat="1" applyFont="1" applyFill="1" applyBorder="1"/>
    <xf numFmtId="0" fontId="51" fillId="33" borderId="7" xfId="0" applyFont="1" applyFill="1" applyBorder="1" applyAlignment="1">
      <alignment horizontal="right"/>
    </xf>
    <xf numFmtId="1" fontId="0" fillId="0" borderId="0" xfId="0" applyNumberFormat="1"/>
    <xf numFmtId="0" fontId="57"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5" borderId="10"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9" fillId="0" borderId="5" xfId="0" applyFont="1" applyFill="1" applyBorder="1" applyAlignment="1">
      <alignment horizontal="center" vertical="center"/>
    </xf>
    <xf numFmtId="0" fontId="31" fillId="0" borderId="5" xfId="0" applyFont="1" applyFill="1" applyBorder="1" applyAlignment="1">
      <alignment vertical="center"/>
    </xf>
    <xf numFmtId="0" fontId="54" fillId="35" borderId="10" xfId="0" applyFont="1" applyFill="1" applyBorder="1" applyAlignment="1" applyProtection="1">
      <alignment horizontal="center" vertical="center" wrapText="1"/>
    </xf>
    <xf numFmtId="0" fontId="54" fillId="34"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2" fontId="10" fillId="0" borderId="0" xfId="0" applyNumberFormat="1" applyFont="1" applyFill="1" applyBorder="1"/>
    <xf numFmtId="0" fontId="66" fillId="0" borderId="0" xfId="0" applyFont="1" applyFill="1" applyBorder="1"/>
    <xf numFmtId="0" fontId="52" fillId="36" borderId="0" xfId="0" applyFont="1" applyFill="1" applyBorder="1" applyAlignment="1">
      <alignment vertical="top"/>
    </xf>
    <xf numFmtId="0" fontId="0" fillId="36" borderId="0" xfId="0" applyFont="1" applyFill="1"/>
    <xf numFmtId="1" fontId="59" fillId="0" borderId="10" xfId="0" applyNumberFormat="1" applyFont="1" applyFill="1" applyBorder="1" applyAlignment="1">
      <alignment wrapText="1"/>
    </xf>
    <xf numFmtId="1" fontId="59" fillId="0" borderId="10" xfId="0" applyNumberFormat="1" applyFont="1" applyFill="1" applyBorder="1" applyAlignment="1">
      <alignment horizontal="left"/>
    </xf>
    <xf numFmtId="1" fontId="59" fillId="0" borderId="10" xfId="0" applyNumberFormat="1" applyFont="1" applyFill="1" applyBorder="1" applyAlignment="1">
      <alignment vertical="center" wrapText="1"/>
    </xf>
    <xf numFmtId="1" fontId="59" fillId="0" borderId="10" xfId="0" applyNumberFormat="1" applyFont="1" applyFill="1" applyBorder="1" applyAlignment="1">
      <alignment horizontal="center"/>
    </xf>
    <xf numFmtId="0" fontId="59" fillId="0" borderId="10" xfId="0" applyFont="1" applyFill="1" applyBorder="1" applyAlignment="1">
      <alignment horizontal="center"/>
    </xf>
    <xf numFmtId="0" fontId="43" fillId="0" borderId="0" xfId="0" applyFont="1"/>
    <xf numFmtId="0" fontId="52" fillId="0" borderId="0" xfId="0" applyFont="1"/>
    <xf numFmtId="0" fontId="53" fillId="0" borderId="0" xfId="0" applyFont="1"/>
    <xf numFmtId="0" fontId="59" fillId="0" borderId="15" xfId="0" applyNumberFormat="1" applyFont="1" applyFill="1" applyBorder="1" applyAlignment="1">
      <alignment horizontal="center" vertical="center" wrapText="1"/>
    </xf>
    <xf numFmtId="165"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vertical="center" wrapText="1"/>
    </xf>
    <xf numFmtId="167" fontId="59" fillId="0" borderId="15" xfId="0" applyNumberFormat="1" applyFont="1" applyFill="1" applyBorder="1" applyAlignment="1">
      <alignment horizontal="center" vertical="center" wrapText="1"/>
    </xf>
    <xf numFmtId="0" fontId="59" fillId="0" borderId="16" xfId="0" applyNumberFormat="1" applyFont="1" applyFill="1" applyBorder="1" applyAlignment="1">
      <alignment horizontal="center" vertical="center" wrapText="1"/>
    </xf>
    <xf numFmtId="43" fontId="59" fillId="0" borderId="10" xfId="33" applyNumberFormat="1" applyFont="1" applyFill="1" applyBorder="1" applyAlignment="1">
      <alignment horizontal="right"/>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5" fillId="0" borderId="0" xfId="0" applyFont="1" applyFill="1" applyBorder="1" applyAlignment="1">
      <alignment vertical="center" wrapText="1"/>
    </xf>
    <xf numFmtId="165" fontId="75" fillId="0" borderId="0" xfId="0" applyNumberFormat="1" applyFont="1" applyFill="1" applyBorder="1" applyAlignment="1">
      <alignment horizontal="center" vertical="center" wrapText="1"/>
    </xf>
    <xf numFmtId="0" fontId="76" fillId="0" borderId="0" xfId="0" applyFont="1" applyFill="1" applyBorder="1" applyAlignment="1">
      <alignment vertical="center" wrapText="1"/>
    </xf>
    <xf numFmtId="0" fontId="75" fillId="0" borderId="0" xfId="0" applyFont="1" applyFill="1" applyBorder="1" applyAlignment="1">
      <alignment wrapText="1"/>
    </xf>
    <xf numFmtId="0" fontId="75" fillId="0" borderId="0" xfId="0" applyFont="1" applyFill="1" applyBorder="1" applyAlignment="1">
      <alignment horizontal="center" vertical="center" wrapText="1"/>
    </xf>
    <xf numFmtId="0" fontId="75" fillId="0" borderId="7" xfId="0" applyFont="1" applyFill="1" applyBorder="1" applyAlignment="1">
      <alignment vertical="center" wrapText="1"/>
    </xf>
    <xf numFmtId="0" fontId="75" fillId="0" borderId="0" xfId="0" applyNumberFormat="1" applyFont="1" applyFill="1" applyBorder="1" applyAlignment="1" applyProtection="1">
      <alignment horizontal="center" vertical="center" wrapText="1"/>
    </xf>
    <xf numFmtId="49" fontId="75" fillId="0" borderId="0" xfId="0" applyNumberFormat="1" applyFont="1" applyFill="1" applyBorder="1" applyAlignment="1" applyProtection="1">
      <alignment vertical="center" wrapText="1"/>
    </xf>
    <xf numFmtId="165" fontId="75" fillId="0" borderId="0" xfId="0" applyNumberFormat="1" applyFont="1" applyFill="1" applyBorder="1" applyAlignment="1" applyProtection="1">
      <alignment horizontal="center" vertical="center" wrapText="1"/>
    </xf>
    <xf numFmtId="167" fontId="75" fillId="0" borderId="0" xfId="0" applyNumberFormat="1" applyFont="1" applyFill="1" applyBorder="1" applyAlignment="1" applyProtection="1">
      <alignment horizontal="center" vertical="center" wrapText="1"/>
    </xf>
    <xf numFmtId="166" fontId="75" fillId="0" borderId="0" xfId="33" applyNumberFormat="1" applyFont="1" applyFill="1" applyBorder="1" applyAlignment="1" applyProtection="1">
      <alignment vertical="center" wrapText="1"/>
    </xf>
    <xf numFmtId="4" fontId="75" fillId="0" borderId="0" xfId="0" applyNumberFormat="1" applyFont="1" applyFill="1" applyBorder="1" applyAlignment="1" applyProtection="1">
      <alignment vertical="center" wrapText="1"/>
    </xf>
    <xf numFmtId="49" fontId="75" fillId="0" borderId="0" xfId="0" applyNumberFormat="1" applyFont="1" applyFill="1" applyBorder="1" applyAlignment="1" applyProtection="1">
      <alignment horizontal="center" vertical="center" wrapText="1"/>
    </xf>
    <xf numFmtId="0" fontId="75" fillId="0" borderId="0" xfId="0" applyFont="1" applyFill="1" applyBorder="1" applyAlignment="1" applyProtection="1">
      <alignment vertical="center" wrapText="1"/>
    </xf>
    <xf numFmtId="1" fontId="57" fillId="0" borderId="0" xfId="33" applyNumberFormat="1" applyFont="1" applyBorder="1" applyAlignment="1" applyProtection="1">
      <alignment horizontal="center" vertical="center"/>
      <protection locked="0"/>
    </xf>
    <xf numFmtId="1" fontId="57" fillId="0" borderId="0" xfId="33" applyNumberFormat="1" applyFont="1" applyBorder="1" applyAlignment="1" applyProtection="1">
      <alignment horizontal="center" vertical="center"/>
      <protection hidden="1"/>
    </xf>
    <xf numFmtId="0" fontId="77" fillId="0" borderId="0" xfId="0" applyNumberFormat="1" applyFont="1" applyFill="1" applyBorder="1" applyAlignment="1" applyProtection="1">
      <alignment horizontal="center" vertical="center" wrapText="1"/>
    </xf>
    <xf numFmtId="49" fontId="77" fillId="0" borderId="0" xfId="0" applyNumberFormat="1" applyFont="1" applyFill="1" applyBorder="1" applyAlignment="1" applyProtection="1">
      <alignment vertical="center" wrapText="1"/>
    </xf>
    <xf numFmtId="165" fontId="77" fillId="0" borderId="0" xfId="0" applyNumberFormat="1" applyFont="1" applyFill="1" applyBorder="1" applyAlignment="1" applyProtection="1">
      <alignment horizontal="center" vertical="center" wrapText="1"/>
    </xf>
    <xf numFmtId="167" fontId="77" fillId="0" borderId="0" xfId="0" applyNumberFormat="1" applyFont="1" applyFill="1" applyBorder="1" applyAlignment="1" applyProtection="1">
      <alignment horizontal="center" vertical="center" wrapText="1"/>
    </xf>
    <xf numFmtId="166" fontId="77" fillId="0" borderId="0" xfId="33" applyNumberFormat="1" applyFont="1" applyFill="1" applyBorder="1" applyAlignment="1" applyProtection="1">
      <alignment vertical="center" wrapText="1"/>
    </xf>
    <xf numFmtId="4" fontId="77" fillId="0" borderId="0" xfId="0" applyNumberFormat="1" applyFont="1" applyFill="1" applyBorder="1" applyAlignment="1" applyProtection="1">
      <alignment vertical="center" wrapText="1"/>
    </xf>
    <xf numFmtId="49" fontId="77" fillId="0" borderId="0" xfId="0" applyNumberFormat="1" applyFont="1" applyFill="1" applyBorder="1" applyAlignment="1" applyProtection="1">
      <alignment horizontal="center" vertical="center" wrapText="1"/>
    </xf>
    <xf numFmtId="0" fontId="77" fillId="0" borderId="0" xfId="0" applyFont="1" applyFill="1" applyBorder="1" applyAlignment="1" applyProtection="1">
      <alignment vertical="center" wrapText="1"/>
    </xf>
    <xf numFmtId="1" fontId="78" fillId="0" borderId="10" xfId="0" applyNumberFormat="1" applyFont="1" applyFill="1" applyBorder="1" applyAlignment="1">
      <alignment vertical="center" wrapText="1"/>
    </xf>
    <xf numFmtId="1" fontId="78" fillId="0" borderId="10" xfId="0" applyNumberFormat="1" applyFont="1" applyFill="1" applyBorder="1" applyAlignment="1">
      <alignment horizontal="left"/>
    </xf>
    <xf numFmtId="1" fontId="78" fillId="0" borderId="10" xfId="0" applyNumberFormat="1" applyFont="1" applyFill="1" applyBorder="1" applyAlignment="1">
      <alignment wrapText="1"/>
    </xf>
    <xf numFmtId="0" fontId="78" fillId="0" borderId="15" xfId="0" applyNumberFormat="1" applyFont="1" applyFill="1" applyBorder="1" applyAlignment="1">
      <alignment horizontal="center" vertical="center" wrapText="1"/>
    </xf>
    <xf numFmtId="165"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vertical="center" wrapText="1"/>
    </xf>
    <xf numFmtId="167" fontId="78" fillId="0" borderId="15" xfId="0" applyNumberFormat="1" applyFont="1" applyFill="1" applyBorder="1" applyAlignment="1">
      <alignment horizontal="center" vertical="center" wrapText="1"/>
    </xf>
    <xf numFmtId="0" fontId="78" fillId="0" borderId="16" xfId="0" applyNumberFormat="1" applyFont="1" applyFill="1" applyBorder="1" applyAlignment="1">
      <alignment horizontal="center" vertical="center" wrapText="1"/>
    </xf>
    <xf numFmtId="1" fontId="78" fillId="0" borderId="10" xfId="0" applyNumberFormat="1" applyFont="1" applyFill="1" applyBorder="1" applyAlignment="1">
      <alignment horizontal="center"/>
    </xf>
    <xf numFmtId="0" fontId="78" fillId="0" borderId="10" xfId="0" applyFont="1" applyFill="1" applyBorder="1" applyAlignment="1">
      <alignment horizontal="center"/>
    </xf>
    <xf numFmtId="43" fontId="78" fillId="0" borderId="10" xfId="33" applyNumberFormat="1" applyFont="1" applyFill="1" applyBorder="1" applyAlignment="1">
      <alignment horizontal="right"/>
    </xf>
    <xf numFmtId="0" fontId="78" fillId="0" borderId="0" xfId="0" applyFont="1" applyFill="1" applyBorder="1" applyAlignment="1">
      <alignment vertical="center" wrapText="1"/>
    </xf>
    <xf numFmtId="0" fontId="77" fillId="0" borderId="0" xfId="0" applyFont="1" applyFill="1" applyBorder="1" applyAlignment="1">
      <alignment vertical="center" wrapText="1"/>
    </xf>
    <xf numFmtId="0" fontId="77" fillId="0" borderId="0" xfId="0" applyFont="1" applyFill="1" applyBorder="1" applyAlignment="1">
      <alignment wrapText="1"/>
    </xf>
    <xf numFmtId="0" fontId="77" fillId="0" borderId="0" xfId="0" applyFont="1" applyFill="1" applyBorder="1" applyAlignment="1">
      <alignment horizontal="center" vertical="center" wrapText="1"/>
    </xf>
    <xf numFmtId="165" fontId="77" fillId="0" borderId="0" xfId="0" applyNumberFormat="1" applyFont="1" applyFill="1" applyBorder="1" applyAlignment="1">
      <alignment horizontal="center" vertical="center" wrapText="1"/>
    </xf>
    <xf numFmtId="0" fontId="77" fillId="0" borderId="7" xfId="0" applyFont="1" applyFill="1" applyBorder="1" applyAlignment="1">
      <alignment vertical="center" wrapText="1"/>
    </xf>
    <xf numFmtId="0" fontId="78" fillId="0" borderId="5" xfId="0" applyFont="1" applyFill="1" applyBorder="1" applyAlignment="1">
      <alignment horizontal="center" vertical="center"/>
    </xf>
    <xf numFmtId="0" fontId="77" fillId="0" borderId="5" xfId="0" applyFont="1" applyFill="1" applyBorder="1" applyAlignment="1">
      <alignment vertical="center" wrapText="1"/>
    </xf>
    <xf numFmtId="167" fontId="77" fillId="0" borderId="0" xfId="0" applyNumberFormat="1" applyFont="1" applyFill="1" applyBorder="1" applyAlignment="1">
      <alignment horizontal="center" vertical="center" wrapText="1"/>
    </xf>
    <xf numFmtId="0" fontId="77" fillId="0" borderId="0" xfId="0" applyNumberFormat="1" applyFont="1" applyFill="1" applyBorder="1" applyAlignment="1">
      <alignment horizontal="center" vertical="center" wrapText="1"/>
    </xf>
    <xf numFmtId="0" fontId="77" fillId="0" borderId="5" xfId="0" applyFont="1" applyFill="1" applyBorder="1" applyAlignment="1">
      <alignment horizontal="center" vertical="center" wrapText="1"/>
    </xf>
    <xf numFmtId="0" fontId="77" fillId="0" borderId="5" xfId="0" applyFont="1" applyFill="1" applyBorder="1" applyAlignment="1">
      <alignment vertical="center"/>
    </xf>
    <xf numFmtId="0" fontId="77" fillId="0" borderId="5" xfId="0" applyFont="1" applyFill="1" applyBorder="1" applyAlignment="1">
      <alignment wrapText="1"/>
    </xf>
    <xf numFmtId="0" fontId="79" fillId="0" borderId="5" xfId="0" applyFont="1" applyFill="1" applyBorder="1" applyAlignment="1">
      <alignment horizontal="center"/>
    </xf>
    <xf numFmtId="0" fontId="0" fillId="0" borderId="10" xfId="0" applyBorder="1" applyAlignment="1">
      <alignment horizontal="left"/>
    </xf>
    <xf numFmtId="0" fontId="0" fillId="0" borderId="0" xfId="0"/>
    <xf numFmtId="0" fontId="0" fillId="0" borderId="0" xfId="0"/>
    <xf numFmtId="0" fontId="80" fillId="33" borderId="7" xfId="0" applyFont="1" applyFill="1" applyBorder="1"/>
    <xf numFmtId="0" fontId="81" fillId="33" borderId="7" xfId="0" applyFont="1" applyFill="1" applyBorder="1"/>
    <xf numFmtId="0" fontId="30" fillId="33" borderId="7" xfId="0" applyFont="1" applyFill="1" applyBorder="1"/>
    <xf numFmtId="0" fontId="51" fillId="36" borderId="0" xfId="0" applyFont="1" applyFill="1"/>
    <xf numFmtId="0" fontId="82" fillId="0" borderId="0" xfId="0" applyFont="1" applyFill="1" applyAlignment="1">
      <alignment horizontal="left" vertical="center"/>
    </xf>
    <xf numFmtId="49" fontId="82" fillId="0" borderId="0" xfId="0" applyNumberFormat="1" applyFont="1" applyFill="1" applyAlignment="1">
      <alignment horizontal="left"/>
    </xf>
    <xf numFmtId="0" fontId="82" fillId="0" borderId="5" xfId="0" applyFont="1" applyFill="1" applyBorder="1" applyAlignment="1">
      <alignment horizontal="left" wrapText="1"/>
    </xf>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0" fillId="0" borderId="10" xfId="0" applyBorder="1"/>
    <xf numFmtId="0" fontId="31" fillId="0" borderId="10" xfId="0" applyFont="1" applyBorder="1" applyAlignment="1">
      <alignment horizontal="center" vertical="center" wrapText="1"/>
    </xf>
    <xf numFmtId="49" fontId="31" fillId="0" borderId="10" xfId="0" applyNumberFormat="1" applyFont="1" applyBorder="1" applyAlignment="1">
      <alignment wrapText="1"/>
    </xf>
    <xf numFmtId="0" fontId="0" fillId="0" borderId="0" xfId="0" applyFont="1" applyFill="1"/>
    <xf numFmtId="0" fontId="56" fillId="0" borderId="5" xfId="0" applyNumberFormat="1" applyFont="1" applyFill="1" applyBorder="1" applyAlignment="1">
      <alignment horizontal="right"/>
    </xf>
    <xf numFmtId="0" fontId="0" fillId="0" borderId="0" xfId="0" applyAlignment="1">
      <alignment horizontal="right"/>
    </xf>
    <xf numFmtId="0" fontId="0" fillId="0" borderId="0" xfId="0" applyFont="1" applyFill="1" applyBorder="1"/>
    <xf numFmtId="0" fontId="74" fillId="0" borderId="0" xfId="0" applyFont="1" applyFill="1" applyBorder="1" applyAlignment="1">
      <alignment wrapText="1"/>
    </xf>
    <xf numFmtId="0" fontId="74" fillId="0" borderId="0" xfId="0" applyFont="1" applyFill="1" applyBorder="1" applyAlignment="1">
      <alignment vertical="center" wrapText="1"/>
    </xf>
    <xf numFmtId="4" fontId="57" fillId="0" borderId="0" xfId="33" applyNumberFormat="1" applyFont="1" applyBorder="1" applyAlignment="1" applyProtection="1">
      <alignment horizontal="center" vertical="center"/>
      <protection locked="0"/>
    </xf>
    <xf numFmtId="0" fontId="51" fillId="33" borderId="5" xfId="0" applyFont="1" applyFill="1" applyBorder="1" applyAlignment="1" applyProtection="1">
      <alignment horizontal="right"/>
    </xf>
    <xf numFmtId="0" fontId="39" fillId="33" borderId="6" xfId="0" applyFont="1" applyFill="1" applyBorder="1"/>
    <xf numFmtId="0" fontId="39" fillId="33" borderId="5" xfId="0" applyFont="1" applyFill="1" applyBorder="1" applyAlignment="1">
      <alignment horizontal="right"/>
    </xf>
    <xf numFmtId="0" fontId="84" fillId="33" borderId="6" xfId="0" applyFont="1" applyFill="1" applyBorder="1"/>
    <xf numFmtId="0" fontId="72" fillId="0" borderId="0" xfId="0" applyFont="1" applyBorder="1" applyAlignment="1" applyProtection="1">
      <protection locked="0"/>
    </xf>
    <xf numFmtId="0" fontId="57" fillId="0" borderId="0" xfId="0" applyFont="1" applyFill="1" applyBorder="1" applyAlignment="1">
      <alignment horizontal="right"/>
    </xf>
    <xf numFmtId="14" fontId="0" fillId="0" borderId="0" xfId="0" applyNumberFormat="1" applyFill="1"/>
    <xf numFmtId="168" fontId="13" fillId="0" borderId="0" xfId="33" applyNumberFormat="1" applyFont="1" applyFill="1" applyBorder="1"/>
    <xf numFmtId="166" fontId="57" fillId="0" borderId="0" xfId="33" applyNumberFormat="1" applyFont="1" applyFill="1" applyBorder="1" applyAlignment="1">
      <alignment horizontal="left"/>
    </xf>
    <xf numFmtId="0" fontId="49" fillId="0" borderId="0" xfId="0" applyFont="1" applyFill="1"/>
    <xf numFmtId="0" fontId="69" fillId="0" borderId="0" xfId="0" applyFont="1" applyFill="1"/>
    <xf numFmtId="0" fontId="3" fillId="0" borderId="0" xfId="0" applyFont="1" applyFill="1" applyBorder="1" applyAlignment="1">
      <alignment horizontal="center"/>
    </xf>
    <xf numFmtId="2" fontId="3" fillId="0" borderId="0" xfId="0" applyNumberFormat="1" applyFont="1" applyFill="1" applyBorder="1"/>
    <xf numFmtId="169" fontId="0" fillId="0" borderId="0" xfId="0" applyNumberFormat="1" applyFont="1" applyFill="1" applyBorder="1"/>
    <xf numFmtId="0" fontId="0" fillId="0" borderId="0" xfId="0" applyFont="1" applyFill="1" applyBorder="1" applyAlignment="1">
      <alignment horizontal="center"/>
    </xf>
    <xf numFmtId="2" fontId="0" fillId="0" borderId="0" xfId="0" applyNumberFormat="1" applyFont="1" applyFill="1" applyBorder="1"/>
    <xf numFmtId="0" fontId="85" fillId="0" borderId="5" xfId="0" applyNumberFormat="1" applyFont="1" applyFill="1" applyBorder="1"/>
    <xf numFmtId="0" fontId="86" fillId="0" borderId="0" xfId="0" applyFont="1" applyFill="1" applyAlignment="1">
      <alignment horizontal="left"/>
    </xf>
    <xf numFmtId="1" fontId="86" fillId="0" borderId="0" xfId="0" applyNumberFormat="1" applyFont="1" applyFill="1" applyAlignment="1">
      <alignment horizontal="left"/>
    </xf>
    <xf numFmtId="0" fontId="51" fillId="0" borderId="0" xfId="0" applyFont="1" applyBorder="1" applyAlignment="1">
      <alignment horizontal="left"/>
    </xf>
    <xf numFmtId="0" fontId="57" fillId="0" borderId="0" xfId="0" applyFont="1" applyFill="1" applyBorder="1" applyAlignment="1">
      <alignment horizontal="right"/>
    </xf>
    <xf numFmtId="165" fontId="73" fillId="0" borderId="38" xfId="31" applyNumberFormat="1" applyFont="1" applyBorder="1" applyAlignment="1" applyProtection="1">
      <alignment horizontal="left" vertical="center"/>
    </xf>
    <xf numFmtId="165" fontId="73" fillId="0" borderId="39" xfId="31" applyNumberFormat="1" applyFont="1" applyBorder="1" applyAlignment="1" applyProtection="1">
      <alignment horizontal="left" vertical="center" wrapText="1"/>
    </xf>
    <xf numFmtId="0" fontId="74" fillId="38" borderId="0" xfId="0" applyFont="1" applyFill="1" applyBorder="1" applyAlignment="1">
      <alignment horizontal="center" vertical="center" wrapText="1"/>
    </xf>
    <xf numFmtId="0" fontId="72" fillId="0" borderId="0" xfId="0" applyFont="1" applyBorder="1" applyAlignment="1" applyProtection="1">
      <alignment horizontal="left"/>
      <protection locked="0"/>
    </xf>
    <xf numFmtId="165" fontId="73" fillId="0" borderId="38" xfId="31" applyNumberFormat="1" applyFont="1" applyFill="1" applyBorder="1" applyAlignment="1" applyProtection="1">
      <alignment horizontal="left" vertical="center"/>
    </xf>
    <xf numFmtId="165" fontId="73" fillId="0" borderId="38" xfId="31" applyNumberFormat="1" applyFont="1" applyBorder="1" applyAlignment="1" applyProtection="1">
      <alignment horizontal="left" vertical="center" wrapText="1"/>
    </xf>
    <xf numFmtId="0" fontId="54" fillId="35" borderId="10" xfId="0" applyFont="1" applyFill="1" applyBorder="1" applyAlignment="1" applyProtection="1">
      <alignment horizontal="center" vertical="center" wrapText="1"/>
    </xf>
    <xf numFmtId="0" fontId="83" fillId="33" borderId="9" xfId="0" applyFont="1" applyFill="1" applyBorder="1" applyAlignment="1" applyProtection="1">
      <alignment horizontal="left"/>
      <protection locked="0"/>
    </xf>
    <xf numFmtId="0" fontId="83" fillId="33" borderId="0" xfId="0" applyFont="1" applyFill="1" applyBorder="1" applyAlignment="1" applyProtection="1">
      <alignment horizontal="left"/>
      <protection locked="0"/>
    </xf>
    <xf numFmtId="0" fontId="57" fillId="0" borderId="0" xfId="0" applyFont="1" applyFill="1" applyBorder="1" applyAlignment="1">
      <alignment horizontal="center"/>
    </xf>
    <xf numFmtId="0" fontId="57" fillId="0" borderId="0" xfId="0" applyFont="1" applyFill="1" applyBorder="1" applyAlignment="1">
      <alignment horizontal="right"/>
    </xf>
    <xf numFmtId="0" fontId="54" fillId="35" borderId="10" xfId="0" applyFont="1" applyFill="1" applyBorder="1" applyAlignment="1" applyProtection="1">
      <alignment horizontal="center" vertical="center"/>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5" borderId="10" xfId="0" applyFont="1" applyFill="1" applyBorder="1" applyAlignment="1">
      <alignment horizontal="center" vertical="center"/>
    </xf>
    <xf numFmtId="0" fontId="57" fillId="0" borderId="5" xfId="0" applyFont="1" applyFill="1" applyBorder="1" applyAlignment="1">
      <alignment horizontal="right"/>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31" fillId="0" borderId="0" xfId="0" applyFont="1" applyBorder="1" applyAlignment="1">
      <alignment horizontal="center"/>
    </xf>
    <xf numFmtId="0" fontId="54" fillId="35" borderId="11" xfId="0" applyFont="1" applyFill="1" applyBorder="1" applyAlignment="1" applyProtection="1">
      <alignment horizontal="center" vertical="center" wrapText="1"/>
    </xf>
    <xf numFmtId="0" fontId="54" fillId="35" borderId="26" xfId="0" applyFont="1" applyFill="1" applyBorder="1" applyAlignment="1" applyProtection="1">
      <alignment horizontal="center" vertical="center" wrapText="1"/>
    </xf>
    <xf numFmtId="0" fontId="30" fillId="0" borderId="0" xfId="0" applyFont="1" applyBorder="1" applyAlignment="1">
      <alignment horizont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1" fillId="33" borderId="5" xfId="0" applyFont="1" applyFill="1" applyBorder="1" applyAlignment="1">
      <alignment horizontal="left"/>
    </xf>
    <xf numFmtId="0" fontId="51"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314">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9"/>
        <color auto="1"/>
        <name val="Calibri"/>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70"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313"/>
    </tableStyle>
    <tableStyle name="Estilo de tabla 1 2" pivot="0" count="1">
      <tableStyleElement type="firstRowStripe" dxfId="312"/>
    </tableStyle>
    <tableStyle name="Estilo de tabla 1 3" pivot="0" count="1">
      <tableStyleElement type="firstRowStripe" dxfId="311"/>
    </tableStyle>
    <tableStyle name="Estilo de tabla 1 4" pivot="0" count="1">
      <tableStyleElement type="firstRowStripe" dxfId="310"/>
    </tableStyle>
    <tableStyle name="Estilo de tabla 2" pivot="0" count="1">
      <tableStyleElement type="firstRowStripe" dxfId="30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xdr:row>
      <xdr:rowOff>104775</xdr:rowOff>
    </xdr:from>
    <xdr:to>
      <xdr:col>6</xdr:col>
      <xdr:colOff>657224</xdr:colOff>
      <xdr:row>11</xdr:row>
      <xdr:rowOff>133350</xdr:rowOff>
    </xdr:to>
    <xdr:pic>
      <xdr:nvPicPr>
        <xdr:cNvPr id="2" name="1 Imagen">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1025" y="485775"/>
          <a:ext cx="5486399" cy="1743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a:extLst>
            <a:ext uri="{FF2B5EF4-FFF2-40B4-BE49-F238E27FC236}">
              <a16:creationId xmlns:a16="http://schemas.microsoft.com/office/drawing/2014/main" id="{00000000-0008-0000-0100-00007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3</xdr:col>
      <xdr:colOff>561975</xdr:colOff>
      <xdr:row>14</xdr:row>
      <xdr:rowOff>9525</xdr:rowOff>
    </xdr:from>
    <xdr:to>
      <xdr:col>20</xdr:col>
      <xdr:colOff>752475</xdr:colOff>
      <xdr:row>20</xdr:row>
      <xdr:rowOff>71437</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3257550" y="3419475"/>
          <a:ext cx="19707225"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oneCellAnchor>
    <xdr:from>
      <xdr:col>12</xdr:col>
      <xdr:colOff>412750</xdr:colOff>
      <xdr:row>43</xdr:row>
      <xdr:rowOff>15875</xdr:rowOff>
    </xdr:from>
    <xdr:ext cx="184731"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a:extLst>
            <a:ext uri="{FF2B5EF4-FFF2-40B4-BE49-F238E27FC236}">
              <a16:creationId xmlns:a16="http://schemas.microsoft.com/office/drawing/2014/main" id="{00000000-0008-0000-0200-00007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a:extLst>
            <a:ext uri="{FF2B5EF4-FFF2-40B4-BE49-F238E27FC236}">
              <a16:creationId xmlns:a16="http://schemas.microsoft.com/office/drawing/2014/main" id="{00000000-0008-0000-0300-00007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2</xdr:col>
      <xdr:colOff>530679</xdr:colOff>
      <xdr:row>16</xdr:row>
      <xdr:rowOff>17009</xdr:rowOff>
    </xdr:from>
    <xdr:to>
      <xdr:col>18</xdr:col>
      <xdr:colOff>217714</xdr:colOff>
      <xdr:row>20</xdr:row>
      <xdr:rowOff>64634</xdr:rowOff>
    </xdr:to>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1891393" y="3541259"/>
          <a:ext cx="15702642"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a:p>
          <a:endParaRPr lang="es-MX" sz="60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a:extLst>
            <a:ext uri="{FF2B5EF4-FFF2-40B4-BE49-F238E27FC236}">
              <a16:creationId xmlns:a16="http://schemas.microsoft.com/office/drawing/2014/main" id="{00000000-0008-0000-0400-00006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a:extLst>
            <a:ext uri="{FF2B5EF4-FFF2-40B4-BE49-F238E27FC236}">
              <a16:creationId xmlns:a16="http://schemas.microsoft.com/office/drawing/2014/main" id="{00000000-0008-0000-0500-00006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3</xdr:col>
      <xdr:colOff>720437</xdr:colOff>
      <xdr:row>5</xdr:row>
      <xdr:rowOff>38100</xdr:rowOff>
    </xdr:to>
    <xdr:pic>
      <xdr:nvPicPr>
        <xdr:cNvPr id="8278" name="3 Imagen">
          <a:extLst>
            <a:ext uri="{FF2B5EF4-FFF2-40B4-BE49-F238E27FC236}">
              <a16:creationId xmlns:a16="http://schemas.microsoft.com/office/drawing/2014/main" id="{00000000-0008-0000-0600-00005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a:extLst>
            <a:ext uri="{FF2B5EF4-FFF2-40B4-BE49-F238E27FC236}">
              <a16:creationId xmlns:a16="http://schemas.microsoft.com/office/drawing/2014/main" id="{00000000-0008-0000-0700-0000502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1</xdr:col>
      <xdr:colOff>369796</xdr:colOff>
      <xdr:row>15</xdr:row>
      <xdr:rowOff>0</xdr:rowOff>
    </xdr:from>
    <xdr:to>
      <xdr:col>16</xdr:col>
      <xdr:colOff>907678</xdr:colOff>
      <xdr:row>20</xdr:row>
      <xdr:rowOff>39920</xdr:rowOff>
    </xdr:to>
    <xdr:sp macro="" textlink="">
      <xdr:nvSpPr>
        <xdr:cNvPr id="2" name="1 CuadroTexto">
          <a:extLst>
            <a:ext uri="{FF2B5EF4-FFF2-40B4-BE49-F238E27FC236}">
              <a16:creationId xmlns:a16="http://schemas.microsoft.com/office/drawing/2014/main" id="{00000000-0008-0000-0700-000002000000}"/>
            </a:ext>
          </a:extLst>
        </xdr:cNvPr>
        <xdr:cNvSpPr txBox="1"/>
      </xdr:nvSpPr>
      <xdr:spPr>
        <a:xfrm>
          <a:off x="537884" y="3395382"/>
          <a:ext cx="16304559" cy="80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a:extLst>
            <a:ext uri="{FF2B5EF4-FFF2-40B4-BE49-F238E27FC236}">
              <a16:creationId xmlns:a16="http://schemas.microsoft.com/office/drawing/2014/main" id="{00000000-0008-0000-0800-0000642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1</xdr:col>
      <xdr:colOff>1183820</xdr:colOff>
      <xdr:row>14</xdr:row>
      <xdr:rowOff>13607</xdr:rowOff>
    </xdr:from>
    <xdr:to>
      <xdr:col>17</xdr:col>
      <xdr:colOff>1197429</xdr:colOff>
      <xdr:row>20</xdr:row>
      <xdr:rowOff>51027</xdr:rowOff>
    </xdr:to>
    <xdr:sp macro="" textlink="">
      <xdr:nvSpPr>
        <xdr:cNvPr id="2" name="1 CuadroTexto">
          <a:extLst>
            <a:ext uri="{FF2B5EF4-FFF2-40B4-BE49-F238E27FC236}">
              <a16:creationId xmlns:a16="http://schemas.microsoft.com/office/drawing/2014/main" id="{00000000-0008-0000-0800-000002000000}"/>
            </a:ext>
          </a:extLst>
        </xdr:cNvPr>
        <xdr:cNvSpPr txBox="1"/>
      </xdr:nvSpPr>
      <xdr:spPr>
        <a:xfrm>
          <a:off x="1455963" y="3619500"/>
          <a:ext cx="18737037" cy="853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a:t>
          </a:r>
          <a:r>
            <a:rPr lang="es-MX" sz="6000" b="1" baseline="0"/>
            <a:t> REPORTADO NO SE PRESENTARON CASOS</a:t>
          </a:r>
          <a:endParaRPr lang="es-MX" sz="60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a:extLst>
            <a:ext uri="{FF2B5EF4-FFF2-40B4-BE49-F238E27FC236}">
              <a16:creationId xmlns:a16="http://schemas.microsoft.com/office/drawing/2014/main" id="{00000000-0008-0000-0900-0000472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a:extLst>
            <a:ext uri="{FF2B5EF4-FFF2-40B4-BE49-F238E27FC236}">
              <a16:creationId xmlns:a16="http://schemas.microsoft.com/office/drawing/2014/main" id="{00000000-0008-0000-0A00-00004B3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a:extLst>
            <a:ext uri="{FF2B5EF4-FFF2-40B4-BE49-F238E27FC236}">
              <a16:creationId xmlns:a16="http://schemas.microsoft.com/office/drawing/2014/main" id="{00000000-0008-0000-0B00-00004C340000}"/>
            </a:ext>
          </a:extLst>
        </xdr:cNvPr>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a:extLst>
            <a:ext uri="{FF2B5EF4-FFF2-40B4-BE49-F238E27FC236}">
              <a16:creationId xmlns:a16="http://schemas.microsoft.com/office/drawing/2014/main" id="{00000000-0008-0000-0C00-00003D380000}"/>
            </a:ext>
          </a:extLst>
        </xdr:cNvPr>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a:extLst>
            <a:ext uri="{FF2B5EF4-FFF2-40B4-BE49-F238E27FC236}">
              <a16:creationId xmlns:a16="http://schemas.microsoft.com/office/drawing/2014/main" id="{00000000-0008-0000-0D00-0000333C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1</xdr:col>
      <xdr:colOff>361951</xdr:colOff>
      <xdr:row>17</xdr:row>
      <xdr:rowOff>80962</xdr:rowOff>
    </xdr:from>
    <xdr:to>
      <xdr:col>7</xdr:col>
      <xdr:colOff>1628775</xdr:colOff>
      <xdr:row>21</xdr:row>
      <xdr:rowOff>128587</xdr:rowOff>
    </xdr:to>
    <xdr:sp macro="" textlink="">
      <xdr:nvSpPr>
        <xdr:cNvPr id="2" name="1 CuadroTexto">
          <a:extLst>
            <a:ext uri="{FF2B5EF4-FFF2-40B4-BE49-F238E27FC236}">
              <a16:creationId xmlns:a16="http://schemas.microsoft.com/office/drawing/2014/main" id="{00000000-0008-0000-0D00-000002000000}"/>
            </a:ext>
          </a:extLst>
        </xdr:cNvPr>
        <xdr:cNvSpPr txBox="1"/>
      </xdr:nvSpPr>
      <xdr:spPr>
        <a:xfrm>
          <a:off x="628651" y="3148012"/>
          <a:ext cx="14106524"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4500" b="1"/>
            <a:t>EN EL PERIODO REPORTADO NO SE PRESENTARON CASOS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a:extLst>
            <a:ext uri="{FF2B5EF4-FFF2-40B4-BE49-F238E27FC236}">
              <a16:creationId xmlns:a16="http://schemas.microsoft.com/office/drawing/2014/main" id="{00000000-0008-0000-0E00-000051400000}"/>
            </a:ext>
          </a:extLst>
        </xdr:cNvPr>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3</xdr:col>
      <xdr:colOff>691760</xdr:colOff>
      <xdr:row>14</xdr:row>
      <xdr:rowOff>15876</xdr:rowOff>
    </xdr:from>
    <xdr:to>
      <xdr:col>17</xdr:col>
      <xdr:colOff>592661</xdr:colOff>
      <xdr:row>20</xdr:row>
      <xdr:rowOff>87314</xdr:rowOff>
    </xdr:to>
    <xdr:sp macro="" textlink="">
      <xdr:nvSpPr>
        <xdr:cNvPr id="2" name="1 CuadroTexto">
          <a:extLst>
            <a:ext uri="{FF2B5EF4-FFF2-40B4-BE49-F238E27FC236}">
              <a16:creationId xmlns:a16="http://schemas.microsoft.com/office/drawing/2014/main" id="{00000000-0008-0000-0E00-000002000000}"/>
            </a:ext>
          </a:extLst>
        </xdr:cNvPr>
        <xdr:cNvSpPr txBox="1"/>
      </xdr:nvSpPr>
      <xdr:spPr>
        <a:xfrm>
          <a:off x="3909093" y="3296709"/>
          <a:ext cx="21448568" cy="88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a:extLst>
            <a:ext uri="{FF2B5EF4-FFF2-40B4-BE49-F238E27FC236}">
              <a16:creationId xmlns:a16="http://schemas.microsoft.com/office/drawing/2014/main" id="{00000000-0008-0000-0F00-000061440000}"/>
            </a:ext>
          </a:extLst>
        </xdr:cNvPr>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a:extLst>
            <a:ext uri="{FF2B5EF4-FFF2-40B4-BE49-F238E27FC236}">
              <a16:creationId xmlns:a16="http://schemas.microsoft.com/office/drawing/2014/main" id="{00000000-0008-0000-1000-00005148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1</xdr:col>
      <xdr:colOff>789214</xdr:colOff>
      <xdr:row>14</xdr:row>
      <xdr:rowOff>996724</xdr:rowOff>
    </xdr:from>
    <xdr:to>
      <xdr:col>19</xdr:col>
      <xdr:colOff>585106</xdr:colOff>
      <xdr:row>21</xdr:row>
      <xdr:rowOff>18711</xdr:rowOff>
    </xdr:to>
    <xdr:sp macro="" textlink="">
      <xdr:nvSpPr>
        <xdr:cNvPr id="2" name="1 CuadroTexto">
          <a:extLst>
            <a:ext uri="{FF2B5EF4-FFF2-40B4-BE49-F238E27FC236}">
              <a16:creationId xmlns:a16="http://schemas.microsoft.com/office/drawing/2014/main" id="{00000000-0008-0000-1000-000002000000}"/>
            </a:ext>
          </a:extLst>
        </xdr:cNvPr>
        <xdr:cNvSpPr txBox="1"/>
      </xdr:nvSpPr>
      <xdr:spPr>
        <a:xfrm>
          <a:off x="1047750" y="3731760"/>
          <a:ext cx="18805070"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a:t>
          </a:r>
          <a:r>
            <a:rPr lang="es-MX" sz="6000" b="1" baseline="0"/>
            <a:t> EL PERIODO REPORTADO NO SE PRESENTARON CASOS</a:t>
          </a:r>
          <a:endParaRPr lang="es-MX" sz="6000" b="1"/>
        </a:p>
      </xdr:txBody>
    </xdr:sp>
    <xdr:clientData/>
  </xdr:twoCellAnchor>
</xdr:wsDr>
</file>

<file path=xl/tables/table1.xml><?xml version="1.0" encoding="utf-8"?>
<table xmlns="http://schemas.openxmlformats.org/spreadsheetml/2006/main" id="1" name="Tabla1" displayName="Tabla1" ref="B16:Y21" totalsRowShown="0" headerRowDxfId="308" dataDxfId="307" tableBorderDxfId="306">
  <autoFilter ref="B16:Y21"/>
  <tableColumns count="24">
    <tableColumn id="1" name="Entidad Federativa" dataDxfId="305"/>
    <tableColumn id="2" name="R.F.C." dataDxfId="304"/>
    <tableColumn id="3" name="CURP" dataDxfId="303"/>
    <tableColumn id="4" name="Nombre" dataDxfId="302"/>
    <tableColumn id="5" name="Clave integrada" dataDxfId="301"/>
    <tableColumn id="6" name="Partida Presupuestal" dataDxfId="300"/>
    <tableColumn id="7" name="Código de Pago" dataDxfId="299"/>
    <tableColumn id="8" name="Clave de Unidad" dataDxfId="298"/>
    <tableColumn id="9" name="Clave de Sub Unidad" dataDxfId="297"/>
    <tableColumn id="10" name="Clave de Categoría" dataDxfId="296"/>
    <tableColumn id="11" name="Horas Semana Mes " dataDxfId="295"/>
    <tableColumn id="12" name="Número de Plaza" dataDxfId="294"/>
    <tableColumn id="13" name="Fecha Comisión_x000a_Inicio" dataDxfId="293"/>
    <tableColumn id="14" name="Fecha Comisión_x000a_Conclusión" dataDxfId="292"/>
    <tableColumn id="15" name="Percepciones pagadas en el Periodo de Comisión con Presupuesto Federal*" dataDxfId="291" dataCellStyle="Millares"/>
    <tableColumn id="16" name="Percepciones pagadas en el Periodo de Comisión con Presupuesto de otra fuente*" dataDxfId="290"/>
    <tableColumn id="17" name="Clave CT Origen" dataDxfId="289"/>
    <tableColumn id="18" name="Clave" dataDxfId="288"/>
    <tableColumn id="19" name="Turno" dataDxfId="287"/>
    <tableColumn id="20" name="Lugar de la comisión fuera del sector educativo" dataDxfId="286"/>
    <tableColumn id="21" name="Tipo de Comisión" dataDxfId="285"/>
    <tableColumn id="22" name="Función Específica" dataDxfId="284"/>
    <tableColumn id="23" name="Objeto de la comision" dataDxfId="283"/>
    <tableColumn id="24" name="No. Oficio" dataDxfId="282"/>
  </tableColumns>
  <tableStyleInfo name="Estilo de tabla 1" showFirstColumn="0" showLastColumn="0" showRowStripes="1" showColumnStripes="0"/>
</table>
</file>

<file path=xl/tables/table2.xml><?xml version="1.0" encoding="utf-8"?>
<table xmlns="http://schemas.openxmlformats.org/spreadsheetml/2006/main" id="3" name="Tabla3" displayName="Tabla3" ref="B16:U25" totalsRowShown="0" headerRowDxfId="281" tableBorderDxfId="280">
  <autoFilter ref="B16:U25"/>
  <tableColumns count="20">
    <tableColumn id="1" name="Entidad Federativa" dataDxfId="279"/>
    <tableColumn id="2" name="R.F.C." dataDxfId="278"/>
    <tableColumn id="3" name="CURP" dataDxfId="277"/>
    <tableColumn id="4" name="NOMBRE" dataDxfId="276"/>
    <tableColumn id="5" name="Clave integrada" dataDxfId="275"/>
    <tableColumn id="6" name="Partida Presupuestal" dataDxfId="274"/>
    <tableColumn id="7" name="Código de Pago" dataDxfId="273"/>
    <tableColumn id="8" name="Clave de Unidad" dataDxfId="272"/>
    <tableColumn id="9" name="Clave de Sub Unidad" dataDxfId="271"/>
    <tableColumn id="10" name="Clave de Categoría" dataDxfId="270"/>
    <tableColumn id="11" name="Horas Semana Mes " dataDxfId="269"/>
    <tableColumn id="12" name="Número de Plaza" dataDxfId="268"/>
    <tableColumn id="13" name="Periodo Licencia_x000a_Inicio" dataDxfId="267"/>
    <tableColumn id="14" name="Periodo Licencia_x000a_Conclusión" dataDxfId="266"/>
    <tableColumn id="15" name="Percepciones pagadas en el Periodo de la Licencia con Presupuesto Federal*" dataDxfId="265"/>
    <tableColumn id="16" name="Percepciones pagadas en el Periodo de la Licencia con Presupuesto de otra fuente*" dataDxfId="264" dataCellStyle="Millares"/>
    <tableColumn id="17" name="Clave CT Origen" dataDxfId="263"/>
    <tableColumn id="18" name="Licencia_x000a_Clave" dataDxfId="262"/>
    <tableColumn id="19" name="Licencia_x000a_Tipo" dataDxfId="261"/>
    <tableColumn id="20" name="Descripción de la Licencia" dataDxfId="260"/>
  </tableColumns>
  <tableStyleInfo name="Estilo de tabla 1" showFirstColumn="0" showLastColumn="0" showRowStripes="1" showColumnStripes="0"/>
</table>
</file>

<file path=xl/tables/table3.xml><?xml version="1.0" encoding="utf-8"?>
<table xmlns="http://schemas.openxmlformats.org/spreadsheetml/2006/main" id="10" name="Tabla10" displayName="Tabla10" ref="B16:S21" totalsRowShown="0" headerRowDxfId="259" headerRowBorderDxfId="258" totalsRowBorderDxfId="257">
  <autoFilter ref="B16:S21"/>
  <tableColumns count="18">
    <tableColumn id="1" name="Entidad Federativa" dataDxfId="256"/>
    <tableColumn id="2" name="RFC" dataDxfId="255"/>
    <tableColumn id="3" name="CURP" dataDxfId="254"/>
    <tableColumn id="4" name="Nombre" dataDxfId="253"/>
    <tableColumn id="5" name="Partida Presupuestal" dataDxfId="252"/>
    <tableColumn id="6" name="Código de Pago" dataDxfId="251"/>
    <tableColumn id="7" name="Clave de Unidad" dataDxfId="250"/>
    <tableColumn id="8" name="Clave de Sub Unidad" dataDxfId="249"/>
    <tableColumn id="9" name="Clave de Categoría" dataDxfId="248"/>
    <tableColumn id="10" name="Horas semana mes" dataDxfId="247"/>
    <tableColumn id="11" name="Número de plaza" dataDxfId="246"/>
    <tableColumn id="12" name="Clave de Centro de Trabajo" dataDxfId="245"/>
    <tableColumn id="13" name="Fecha de emisión de pago" dataDxfId="244"/>
    <tableColumn id="14" name="Motivo del Pago Retroactivo" dataDxfId="243"/>
    <tableColumn id="15" name="Periodo pagado_x000a_Desde" dataDxfId="242"/>
    <tableColumn id="16" name="Periodo pagado_x000a_Hasta" dataDxfId="241"/>
    <tableColumn id="17" name="Días transcurridos para el pago" dataDxfId="240"/>
    <tableColumn id="18" name="Percepciones pagadas en el periodo reportado *" dataDxfId="239" dataCellStyle="Millares"/>
  </tableColumns>
  <tableStyleInfo name="Estilo de tabla 1" showFirstColumn="0" showLastColumn="0" showRowStripes="1" showColumnStripes="0"/>
</table>
</file>

<file path=xl/tables/table4.xml><?xml version="1.0" encoding="utf-8"?>
<table xmlns="http://schemas.openxmlformats.org/spreadsheetml/2006/main" id="11" name="Tabla11" displayName="Tabla11" ref="B17:Y355" totalsRowShown="0" headerRowDxfId="238" dataDxfId="237" tableBorderDxfId="236">
  <autoFilter ref="B17:Y355"/>
  <tableColumns count="24">
    <tableColumn id="1" name="Entidad Federativa" dataDxfId="235"/>
    <tableColumn id="2" name="RFC" dataDxfId="234"/>
    <tableColumn id="3" name="CURP" dataDxfId="233"/>
    <tableColumn id="4" name="Nombre" dataDxfId="232"/>
    <tableColumn id="5" name="Centros de Trabajo" dataDxfId="231"/>
    <tableColumn id="6" name="Jornada" dataDxfId="230"/>
    <tableColumn id="7" name="HSM" dataDxfId="229"/>
    <tableColumn id="8" name="Honorarios" dataDxfId="228"/>
    <tableColumn id="9" name="Jornada2" dataDxfId="227"/>
    <tableColumn id="10" name="HSM3" dataDxfId="226"/>
    <tableColumn id="11" name="Honorarios4" dataDxfId="225"/>
    <tableColumn id="12" name="Jornada5" dataDxfId="224"/>
    <tableColumn id="13" name="HSM6" dataDxfId="223"/>
    <tableColumn id="14" name="Honorarios7" dataDxfId="222"/>
    <tableColumn id="15" name="Jornada8" dataDxfId="221"/>
    <tableColumn id="16" name="HSM9" dataDxfId="220"/>
    <tableColumn id="17" name="Honorarios10" dataDxfId="219"/>
    <tableColumn id="18" name="Jornada11" dataDxfId="218"/>
    <tableColumn id="19" name="HSM12" dataDxfId="217"/>
    <tableColumn id="20" name="Honorarios13" dataDxfId="216"/>
    <tableColumn id="21" name="Total plazas Jornada" dataDxfId="215"/>
    <tableColumn id="22" name="Total _x000a_HSM" dataDxfId="214"/>
    <tableColumn id="23" name="Total de Honorarios" dataDxfId="213"/>
    <tableColumn id="24" name="Total de recursos presupuestales ejercidos en servicios personales en el periodo_x000a_(2)" dataDxfId="212"/>
  </tableColumns>
  <tableStyleInfo name="Estilo de tabla 1" showFirstColumn="0" showLastColumn="0" showRowStripes="1" showColumnStripes="0"/>
</table>
</file>

<file path=xl/tables/table5.xml><?xml version="1.0" encoding="utf-8"?>
<table xmlns="http://schemas.openxmlformats.org/spreadsheetml/2006/main" id="12" name="Tabla12" displayName="Tabla12" ref="B15:V353" totalsRowShown="0" headerRowDxfId="211" tableBorderDxfId="210">
  <autoFilter ref="B15:V353"/>
  <tableColumns count="21">
    <tableColumn id="1" name="Entidad Federativa" dataDxfId="209"/>
    <tableColumn id="2" name="Clave CT" dataDxfId="208"/>
    <tableColumn id="3" name="Turno" dataDxfId="207"/>
    <tableColumn id="4" name="RFC" dataDxfId="206"/>
    <tableColumn id="5" name="CURP" dataDxfId="205"/>
    <tableColumn id="6" name="Nombre" dataDxfId="204"/>
    <tableColumn id="7" name="Funcion Real" dataDxfId="203"/>
    <tableColumn id="8" name="Horas que labora en el Centro de Trabajo" dataDxfId="202"/>
    <tableColumn id="11" name="Partida Presupuestal" dataDxfId="201"/>
    <tableColumn id="12" name="Código de Pago" dataDxfId="200"/>
    <tableColumn id="13" name="Clave de Unidad" dataDxfId="199"/>
    <tableColumn id="14" name="Clave de Sub Unidad" dataDxfId="198"/>
    <tableColumn id="15" name="Clave de Categoría" dataDxfId="197"/>
    <tableColumn id="16" name="Horas semana mes" dataDxfId="196"/>
    <tableColumn id="17" name="Número de plaza" dataDxfId="195"/>
    <tableColumn id="18" name="Tipo de Categoría" dataDxfId="194"/>
    <tableColumn id="19" name="Identificador de Contrato de Honorarios" dataDxfId="193"/>
    <tableColumn id="20" name="Periodo de efecto de pago en el trimestre_x000a_Inicial" dataDxfId="192"/>
    <tableColumn id="21" name="Periodo de efecto de pago en el trimestre_x000a_Termino" dataDxfId="191"/>
    <tableColumn id="22" name="Percepciones pagadas en el Periodo de Comisión con Presupuesto Federal*" dataDxfId="190"/>
    <tableColumn id="23" name="Percepciones pagadas en el Periodo de Comisión con Presupuesto de otra fuente*" dataDxfId="189"/>
  </tableColumns>
  <tableStyleInfo name="Estilo de tabla 1" showFirstColumn="0" showLastColumn="0" showRowStripes="1" showColumnStripes="0"/>
</table>
</file>

<file path=xl/tables/table6.xml><?xml version="1.0" encoding="utf-8"?>
<table xmlns="http://schemas.openxmlformats.org/spreadsheetml/2006/main" id="13" name="Tabla13" displayName="Tabla13" ref="B15:H38" totalsRowShown="0" headerRowDxfId="188" dataDxfId="187" tableBorderDxfId="186">
  <autoFilter ref="B15:H38"/>
  <tableColumns count="7">
    <tableColumn id="1" name="Entidad Federativa" dataDxfId="185"/>
    <tableColumn id="7" name="Columna2"/>
    <tableColumn id="6" name="Columna1"/>
    <tableColumn id="2" name="RFC" dataDxfId="184"/>
    <tableColumn id="3" name="CURP" dataDxfId="183"/>
    <tableColumn id="4" name="Nombbre" dataDxfId="182"/>
    <tableColumn id="5" name="Origen Presupuestal_x000a_ de la plazas" dataDxfId="181"/>
  </tableColumns>
  <tableStyleInfo name="Estilo de tabla 1" showFirstColumn="0" showLastColumn="0" showRowStripes="1" showColumnStripes="0"/>
</table>
</file>

<file path=xl/tables/table7.xml><?xml version="1.0" encoding="utf-8"?>
<table xmlns="http://schemas.openxmlformats.org/spreadsheetml/2006/main" id="4" name="Tabla4" displayName="Tabla4" ref="B16:Q21" totalsRowShown="0" headerRowDxfId="180" dataDxfId="179" tableBorderDxfId="178">
  <autoFilter ref="B16:Q21"/>
  <tableColumns count="16">
    <tableColumn id="1" name="Entidad Federativa" dataDxfId="177"/>
    <tableColumn id="2" name="R.F.C." dataDxfId="176"/>
    <tableColumn id="3" name="CURP" dataDxfId="175"/>
    <tableColumn id="4" name="NOMBRE" dataDxfId="174"/>
    <tableColumn id="5" name="Clave Centro de Trabajo" dataDxfId="173"/>
    <tableColumn id="6" name="Última(s) ó Penultima(s) Plaza(s) Ocupada(s)_x000a_(*)" dataDxfId="172"/>
    <tableColumn id="7" name="Partida Presupuestal" dataDxfId="171"/>
    <tableColumn id="8" name="Código de Pago" dataDxfId="170"/>
    <tableColumn id="9" name="Clave de Unidad" dataDxfId="169"/>
    <tableColumn id="10" name="Clave de Sub Unidad" dataDxfId="168"/>
    <tableColumn id="11" name="Clave de Categoría" dataDxfId="167"/>
    <tableColumn id="12" name="Horas Semana Mes " dataDxfId="166"/>
    <tableColumn id="13" name="Número de Plaza" dataDxfId="165"/>
    <tableColumn id="14" name="Periodo ocupado_x000a_Inicio" dataDxfId="164"/>
    <tableColumn id="15" name="Periodo ocupado_x000a_Conclusión" dataDxfId="163"/>
    <tableColumn id="16" name="Quincena de inicio de jubilación" dataDxfId="162"/>
  </tableColumns>
  <tableStyleInfo name="Estilo de tabla 1" showFirstColumn="0" showLastColumn="0" showRowStripes="1" showColumnStripes="0"/>
</table>
</file>

<file path=xl/tables/table8.xml><?xml version="1.0" encoding="utf-8"?>
<table xmlns="http://schemas.openxmlformats.org/spreadsheetml/2006/main" id="5" name="Tabla5" displayName="Tabla5" ref="B16:R21" totalsRowShown="0" headerRowDxfId="161" dataDxfId="160" tableBorderDxfId="159">
  <autoFilter ref="B16:R21"/>
  <tableColumns count="17">
    <tableColumn id="1" name="Entidad Federativa" dataDxfId="158"/>
    <tableColumn id="2" name="R.F.C." dataDxfId="157"/>
    <tableColumn id="3" name="CURP" dataDxfId="156"/>
    <tableColumn id="4" name="NOMBRE" dataDxfId="155"/>
    <tableColumn id="5" name="Clave integrada" dataDxfId="154"/>
    <tableColumn id="6" name="Partida Presupuestal" dataDxfId="153"/>
    <tableColumn id="7" name="Código de Pago" dataDxfId="152"/>
    <tableColumn id="8" name="Clave de Unidad" dataDxfId="151"/>
    <tableColumn id="9" name="Clave de Sub Unidad" dataDxfId="150"/>
    <tableColumn id="10" name="Clave de Categoría" dataDxfId="149"/>
    <tableColumn id="11" name="Horas Semana Mes " dataDxfId="148"/>
    <tableColumn id="12" name="Número de Plaza" dataDxfId="147"/>
    <tableColumn id="13" name="Periodo Licencia_x000a_Inicio" dataDxfId="146"/>
    <tableColumn id="14" name="Periodo Licencia_x000a_Conclusión" dataDxfId="145"/>
    <tableColumn id="15" name="Percepciones pagadas con Presupuesto Federal en el  Periodo reportado*" dataDxfId="144"/>
    <tableColumn id="16" name="Percepciones pagadas con Presupuesto de otra Fuente en el  Periodo reportado*" dataDxfId="143"/>
    <tableColumn id="17" name="Clave CT Origen" dataDxfId="142"/>
  </tableColumns>
  <tableStyleInfo name="Estilo de tabla 1" showFirstColumn="0" showLastColumn="0" showRowStripes="1" showColumnStripes="0"/>
</table>
</file>

<file path=xl/tables/table9.xml><?xml version="1.0" encoding="utf-8"?>
<table xmlns="http://schemas.openxmlformats.org/spreadsheetml/2006/main" id="14" name="Tabla14" displayName="Tabla14" ref="B17:M155" totalsRowShown="0" headerRowDxfId="141" tableBorderDxfId="140">
  <autoFilter ref="B17:M155"/>
  <tableColumns count="12">
    <tableColumn id="1" name="Entidad Federativa" dataDxfId="139"/>
    <tableColumn id="2" name="Clave Centro de Trabajo" dataDxfId="138"/>
    <tableColumn id="3" name="R.F.C." dataDxfId="137"/>
    <tableColumn id="4" name="CURP" dataDxfId="136"/>
    <tableColumn id="5" name="Nombre" dataDxfId="135"/>
    <tableColumn id="6" name="Identificador del Contrato" dataDxfId="134"/>
    <tableColumn id="7" name="Clave de Categoría" dataDxfId="133"/>
    <tableColumn id="8" name="Horas Semana Mes " dataDxfId="132"/>
    <tableColumn id="9" name="Periodo de Contratación_x000a_Inicio" dataDxfId="131"/>
    <tableColumn id="10" name="Periodo de Contratación_x000a_Conclusión" dataDxfId="130"/>
    <tableColumn id="11" name="Función" dataDxfId="129"/>
    <tableColumn id="12" name="Percepciones pagadas dentro del periodo reportado" dataDxfId="128"/>
  </tableColumns>
  <tableStyleInfo name="Estilo de tabla 1" showFirstColumn="0" showLastColumn="0" showRowStripes="1" showColumnStripes="0"/>
</table>
</file>

<file path=xl/tables/table10.xml><?xml version="1.0" encoding="utf-8"?>
<table xmlns="http://schemas.openxmlformats.org/spreadsheetml/2006/main" id="15" name="Tabla15" displayName="Tabla15" ref="B16:S33" totalsRowShown="0" headerRowDxfId="127" tableBorderDxfId="126">
  <autoFilter ref="B16:S33"/>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tableColumns>
  <tableStyleInfo name="Estilo de tabla 1" showFirstColumn="0" showLastColumn="0" showRowStripes="1" showColumnStripes="0"/>
</table>
</file>

<file path=xl/tables/table11.xml><?xml version="1.0" encoding="utf-8"?>
<table xmlns="http://schemas.openxmlformats.org/spreadsheetml/2006/main" id="16" name="Tabla16" displayName="Tabla16" ref="B18:R35" totalsRowShown="0" headerRowDxfId="107" dataDxfId="106" tableBorderDxfId="105">
  <autoFilter ref="B18:R35"/>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12.xml><?xml version="1.0" encoding="utf-8"?>
<table xmlns="http://schemas.openxmlformats.org/spreadsheetml/2006/main" id="17" name="Tabla17" displayName="Tabla17" ref="B15:K189" totalsRowShown="0" headerRowDxfId="87" dataDxfId="85" headerRowBorderDxfId="86" tableBorderDxfId="84">
  <autoFilter ref="B15:K189"/>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13.xml><?xml version="1.0" encoding="utf-8"?>
<table xmlns="http://schemas.openxmlformats.org/spreadsheetml/2006/main" id="18" name="Tabla18" displayName="Tabla18" ref="B17:H22" totalsRowShown="0" headerRowDxfId="73" dataDxfId="72" tableBorderDxfId="71">
  <autoFilter ref="B17:H22"/>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14.xml><?xml version="1.0" encoding="utf-8"?>
<table xmlns="http://schemas.openxmlformats.org/spreadsheetml/2006/main" id="19" name="Tabla19" displayName="Tabla19" ref="B16:S21" totalsRowShown="0" dataDxfId="63" tableBorderDxfId="62">
  <autoFilter ref="B16:S21"/>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15.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6.xml><?xml version="1.0" encoding="utf-8"?>
<table xmlns="http://schemas.openxmlformats.org/spreadsheetml/2006/main" id="21" name="Tabla21" displayName="Tabla21" ref="B17:T22" totalsRowShown="0" headerRowDxfId="21" dataDxfId="20" tableBorderDxfId="19">
  <autoFilter ref="B17:T22"/>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8:T59"/>
  <sheetViews>
    <sheetView tabSelected="1" topLeftCell="A47" zoomScale="90" zoomScaleNormal="90" workbookViewId="0">
      <selection activeCell="T73" sqref="T73"/>
    </sheetView>
  </sheetViews>
  <sheetFormatPr baseColWidth="10" defaultRowHeight="15" x14ac:dyDescent="0.25"/>
  <cols>
    <col min="1" max="1" width="3.7109375" style="364" customWidth="1"/>
    <col min="2" max="2" width="4.5703125" style="364" customWidth="1"/>
    <col min="3" max="3" width="10.7109375" style="364" bestFit="1" customWidth="1"/>
    <col min="4" max="6" width="20.7109375" style="364" customWidth="1"/>
    <col min="7" max="7" width="24" style="364" customWidth="1"/>
    <col min="8" max="8" width="12.7109375" style="364" customWidth="1"/>
    <col min="9" max="9" width="1.5703125" style="364" customWidth="1"/>
    <col min="10" max="10" width="12.140625" style="364" customWidth="1"/>
    <col min="11" max="11" width="1.7109375" style="364" customWidth="1"/>
    <col min="12" max="12" width="12.7109375" style="364" customWidth="1"/>
    <col min="13" max="13" width="1.7109375" style="364" customWidth="1"/>
    <col min="14" max="14" width="10" style="364" customWidth="1"/>
    <col min="15" max="15" width="1.7109375" style="364" customWidth="1"/>
    <col min="16" max="16" width="17.140625" style="364" customWidth="1"/>
    <col min="17" max="17" width="1.7109375" style="364" customWidth="1"/>
    <col min="18" max="18" width="17.28515625" style="364" customWidth="1"/>
    <col min="19" max="19" width="1.7109375" style="364" customWidth="1"/>
    <col min="20" max="16384" width="11.42578125" style="364"/>
  </cols>
  <sheetData>
    <row r="8" spans="3:20" x14ac:dyDescent="0.25">
      <c r="D8" s="55"/>
    </row>
    <row r="12" spans="3:20" ht="15" customHeight="1" x14ac:dyDescent="0.25">
      <c r="S12" s="54"/>
      <c r="T12" s="54"/>
    </row>
    <row r="13" spans="3:20" ht="15" customHeight="1" x14ac:dyDescent="0.35">
      <c r="D13" s="408" t="s">
        <v>255</v>
      </c>
      <c r="E13" s="408"/>
      <c r="F13" s="408"/>
      <c r="G13" s="408"/>
      <c r="H13" s="408"/>
      <c r="I13" s="408"/>
      <c r="J13" s="408"/>
      <c r="K13" s="408"/>
      <c r="L13" s="408"/>
      <c r="M13" s="408"/>
      <c r="N13" s="408"/>
      <c r="O13" s="408"/>
      <c r="P13" s="408"/>
      <c r="Q13" s="408"/>
      <c r="R13" s="408"/>
      <c r="S13" s="382"/>
      <c r="T13" s="54"/>
    </row>
    <row r="14" spans="3:20" ht="15" customHeight="1" x14ac:dyDescent="0.25">
      <c r="C14" s="55"/>
      <c r="D14" s="408"/>
      <c r="E14" s="408"/>
      <c r="F14" s="408"/>
      <c r="G14" s="408"/>
      <c r="H14" s="408"/>
      <c r="I14" s="408"/>
      <c r="J14" s="408"/>
      <c r="K14" s="408"/>
      <c r="L14" s="408"/>
      <c r="M14" s="408"/>
      <c r="N14" s="408"/>
      <c r="O14" s="408"/>
      <c r="P14" s="408"/>
      <c r="Q14" s="408"/>
      <c r="R14" s="408"/>
      <c r="S14" s="383"/>
      <c r="T14" s="54"/>
    </row>
    <row r="15" spans="3:20" ht="15" customHeight="1" x14ac:dyDescent="0.35">
      <c r="C15" s="55"/>
      <c r="D15" s="408"/>
      <c r="E15" s="408"/>
      <c r="F15" s="408"/>
      <c r="G15" s="408"/>
      <c r="H15" s="408"/>
      <c r="I15" s="408"/>
      <c r="J15" s="408"/>
      <c r="K15" s="408"/>
      <c r="L15" s="408"/>
      <c r="M15" s="408"/>
      <c r="N15" s="408"/>
      <c r="O15" s="408"/>
      <c r="P15" s="408"/>
      <c r="Q15" s="408"/>
      <c r="R15" s="408"/>
      <c r="S15" s="382"/>
      <c r="T15" s="54"/>
    </row>
    <row r="16" spans="3:20" ht="15" customHeight="1" x14ac:dyDescent="0.25">
      <c r="C16" s="55"/>
      <c r="D16" s="55"/>
      <c r="E16" s="55"/>
      <c r="F16" s="55"/>
      <c r="G16" s="55"/>
      <c r="H16" s="55"/>
      <c r="I16" s="55"/>
      <c r="J16" s="55"/>
      <c r="K16" s="55"/>
      <c r="L16" s="55"/>
      <c r="M16" s="55"/>
      <c r="N16" s="55"/>
      <c r="O16" s="55"/>
      <c r="P16" s="55"/>
      <c r="Q16" s="55"/>
      <c r="R16" s="55"/>
      <c r="S16" s="55"/>
    </row>
    <row r="17" spans="3:19" ht="15" customHeight="1" x14ac:dyDescent="0.25">
      <c r="D17" s="55"/>
      <c r="E17" s="55"/>
      <c r="F17" s="55"/>
      <c r="G17" s="55"/>
      <c r="H17" s="55"/>
      <c r="I17" s="55"/>
      <c r="J17" s="55"/>
      <c r="K17" s="55"/>
      <c r="L17" s="55"/>
      <c r="M17" s="55"/>
      <c r="N17" s="55"/>
      <c r="O17" s="55"/>
      <c r="P17" s="55"/>
      <c r="Q17" s="55"/>
      <c r="R17" s="55"/>
      <c r="S17" s="55"/>
    </row>
    <row r="18" spans="3:19" ht="15" customHeight="1" x14ac:dyDescent="0.25">
      <c r="D18" s="55"/>
      <c r="E18" s="55"/>
      <c r="F18" s="55"/>
      <c r="G18" s="55"/>
      <c r="H18" s="55"/>
      <c r="I18" s="55"/>
      <c r="J18" s="55"/>
      <c r="K18" s="55"/>
      <c r="L18" s="55"/>
      <c r="M18" s="55"/>
      <c r="N18" s="55"/>
      <c r="O18" s="55"/>
      <c r="P18" s="55"/>
      <c r="Q18" s="55"/>
      <c r="R18" s="55"/>
      <c r="S18" s="55"/>
    </row>
    <row r="19" spans="3:19" ht="15" customHeight="1" x14ac:dyDescent="0.3">
      <c r="D19" s="55"/>
      <c r="E19" s="55"/>
      <c r="F19" s="55"/>
      <c r="G19" s="55"/>
      <c r="H19" s="55"/>
      <c r="I19" s="55"/>
      <c r="J19" s="55"/>
      <c r="K19" s="55"/>
      <c r="L19" s="55"/>
      <c r="M19" s="55"/>
      <c r="N19" s="55"/>
      <c r="O19" s="55"/>
      <c r="P19" s="55"/>
      <c r="Q19" s="55"/>
      <c r="R19" s="265"/>
      <c r="S19" s="55"/>
    </row>
    <row r="20" spans="3:19" ht="15" customHeight="1" x14ac:dyDescent="0.25">
      <c r="D20" s="55"/>
      <c r="E20" s="55"/>
      <c r="F20" s="55"/>
      <c r="G20" s="55"/>
      <c r="H20" s="55"/>
      <c r="I20" s="55"/>
      <c r="J20" s="55"/>
      <c r="K20" s="55"/>
      <c r="L20" s="55"/>
      <c r="M20" s="55"/>
      <c r="N20" s="55"/>
      <c r="O20" s="55"/>
      <c r="P20" s="55"/>
      <c r="Q20" s="55"/>
      <c r="R20" s="55"/>
      <c r="S20" s="55"/>
    </row>
    <row r="21" spans="3:19" ht="15" customHeight="1" x14ac:dyDescent="0.25">
      <c r="D21" s="55"/>
      <c r="E21" s="55"/>
      <c r="F21" s="55"/>
      <c r="G21" s="55"/>
      <c r="H21" s="55"/>
      <c r="I21" s="55"/>
      <c r="J21" s="55"/>
      <c r="K21" s="55"/>
      <c r="L21" s="55"/>
      <c r="M21" s="55"/>
      <c r="N21" s="55"/>
      <c r="O21" s="55"/>
      <c r="P21" s="55"/>
      <c r="Q21" s="55"/>
      <c r="R21" s="55"/>
      <c r="S21" s="55"/>
    </row>
    <row r="22" spans="3:19" x14ac:dyDescent="0.25">
      <c r="C22" s="55"/>
      <c r="D22" s="55"/>
      <c r="E22" s="55"/>
      <c r="F22" s="55"/>
      <c r="G22" s="55"/>
      <c r="H22" s="55"/>
      <c r="I22" s="55"/>
      <c r="J22" s="55"/>
      <c r="K22" s="55"/>
      <c r="L22" s="55"/>
      <c r="M22" s="55"/>
      <c r="N22" s="55"/>
      <c r="O22" s="55"/>
      <c r="P22" s="55"/>
      <c r="Q22" s="55"/>
      <c r="R22" s="55"/>
      <c r="S22" s="55"/>
    </row>
    <row r="23" spans="3:19" ht="18.75" x14ac:dyDescent="0.3">
      <c r="C23" s="404" t="s">
        <v>256</v>
      </c>
      <c r="E23" s="389" t="s">
        <v>274</v>
      </c>
      <c r="F23" s="389"/>
      <c r="G23" s="389"/>
      <c r="H23" s="389"/>
      <c r="I23" s="389"/>
      <c r="J23" s="389"/>
      <c r="K23" s="389"/>
      <c r="L23" s="389"/>
      <c r="M23" s="389"/>
      <c r="N23" s="389"/>
      <c r="O23" s="389"/>
      <c r="P23" s="55"/>
      <c r="Q23" s="55"/>
      <c r="R23" s="55"/>
      <c r="S23" s="55"/>
    </row>
    <row r="24" spans="3:19" ht="18.75" x14ac:dyDescent="0.3">
      <c r="C24" s="265" t="s">
        <v>257</v>
      </c>
      <c r="D24" s="409" t="s">
        <v>252</v>
      </c>
      <c r="E24" s="409"/>
      <c r="F24" s="409"/>
      <c r="G24" s="409"/>
      <c r="H24" s="409"/>
      <c r="I24" s="409"/>
      <c r="J24" s="409"/>
      <c r="K24" s="409"/>
      <c r="L24" s="409"/>
      <c r="M24" s="409"/>
      <c r="N24" s="409"/>
      <c r="O24" s="409"/>
      <c r="P24" s="409"/>
      <c r="Q24" s="55"/>
      <c r="R24" s="55"/>
      <c r="S24" s="55"/>
    </row>
    <row r="25" spans="3:19" ht="18.75" x14ac:dyDescent="0.3">
      <c r="C25" s="265" t="s">
        <v>258</v>
      </c>
      <c r="D25" s="389" t="s">
        <v>262</v>
      </c>
      <c r="E25" s="389"/>
      <c r="F25" s="389"/>
      <c r="G25" s="389"/>
      <c r="H25" s="389"/>
      <c r="I25" s="389"/>
      <c r="J25" s="389"/>
      <c r="K25" s="389"/>
      <c r="L25" s="389"/>
      <c r="M25" s="389"/>
      <c r="N25" s="389"/>
      <c r="O25" s="389"/>
      <c r="P25" s="55"/>
      <c r="Q25" s="55"/>
      <c r="R25" s="55"/>
      <c r="S25" s="55"/>
    </row>
    <row r="26" spans="3:19" x14ac:dyDescent="0.25">
      <c r="C26" s="55"/>
      <c r="D26" s="55"/>
      <c r="E26" s="55"/>
      <c r="F26" s="55"/>
      <c r="G26" s="55"/>
      <c r="H26" s="55"/>
      <c r="I26" s="55"/>
      <c r="J26" s="55"/>
      <c r="K26" s="55"/>
      <c r="L26" s="55"/>
      <c r="M26" s="55"/>
      <c r="N26" s="55"/>
      <c r="O26" s="55"/>
      <c r="P26" s="55"/>
      <c r="Q26" s="55"/>
      <c r="R26" s="55"/>
      <c r="S26" s="55"/>
    </row>
    <row r="27" spans="3:19" x14ac:dyDescent="0.25">
      <c r="C27" s="55"/>
      <c r="D27" s="55"/>
      <c r="E27" s="55"/>
      <c r="F27" s="55"/>
      <c r="G27" s="55"/>
      <c r="H27" s="55"/>
      <c r="I27" s="55"/>
      <c r="J27" s="55"/>
      <c r="K27" s="55"/>
      <c r="L27" s="55"/>
      <c r="M27" s="55"/>
      <c r="N27" s="55"/>
      <c r="O27" s="55"/>
      <c r="P27" s="55"/>
      <c r="Q27" s="55"/>
      <c r="R27" s="55"/>
      <c r="S27" s="55"/>
    </row>
    <row r="28" spans="3:19" x14ac:dyDescent="0.25">
      <c r="C28" s="55"/>
      <c r="D28" s="55"/>
      <c r="E28" s="55"/>
      <c r="F28" s="55"/>
      <c r="G28" s="55"/>
      <c r="H28" s="55"/>
      <c r="I28" s="55"/>
      <c r="J28" s="55"/>
      <c r="K28" s="55"/>
      <c r="L28" s="55"/>
      <c r="M28" s="55"/>
      <c r="N28" s="55"/>
      <c r="O28" s="55"/>
      <c r="P28" s="55"/>
      <c r="Q28" s="55"/>
      <c r="R28" s="55"/>
      <c r="S28" s="55"/>
    </row>
    <row r="29" spans="3:19" x14ac:dyDescent="0.25">
      <c r="C29" s="55"/>
      <c r="D29" s="55"/>
      <c r="E29" s="55"/>
      <c r="F29" s="55"/>
      <c r="G29" s="55"/>
      <c r="H29" s="55"/>
      <c r="I29" s="55"/>
      <c r="J29" s="55"/>
      <c r="K29" s="55"/>
      <c r="L29" s="55"/>
      <c r="M29" s="55"/>
      <c r="N29" s="55"/>
      <c r="O29" s="55"/>
      <c r="P29" s="55"/>
      <c r="Q29" s="55"/>
      <c r="R29" s="55"/>
      <c r="S29" s="55"/>
    </row>
    <row r="30" spans="3:19" x14ac:dyDescent="0.25">
      <c r="C30" s="55"/>
      <c r="D30" s="55"/>
      <c r="E30" s="55"/>
      <c r="F30" s="55"/>
      <c r="G30" s="55"/>
      <c r="H30" s="55"/>
      <c r="I30" s="55"/>
      <c r="J30" s="55"/>
      <c r="K30" s="55"/>
      <c r="L30" s="55"/>
      <c r="M30" s="55"/>
      <c r="N30" s="55"/>
      <c r="O30" s="55"/>
      <c r="P30" s="55"/>
      <c r="Q30" s="55"/>
      <c r="R30" s="55"/>
      <c r="S30" s="55"/>
    </row>
    <row r="31" spans="3:19" x14ac:dyDescent="0.25">
      <c r="C31" s="55"/>
      <c r="D31" s="55"/>
      <c r="E31" s="55"/>
      <c r="F31" s="55"/>
      <c r="G31" s="55"/>
      <c r="H31" s="55"/>
      <c r="I31" s="55"/>
      <c r="J31" s="55"/>
      <c r="K31" s="55"/>
      <c r="L31" s="55"/>
      <c r="M31" s="55"/>
      <c r="N31" s="55"/>
      <c r="O31" s="55"/>
      <c r="P31" s="55"/>
      <c r="Q31" s="55"/>
      <c r="R31" s="55"/>
      <c r="S31" s="55"/>
    </row>
    <row r="32" spans="3:19" x14ac:dyDescent="0.25">
      <c r="C32" s="55"/>
      <c r="D32" s="55"/>
      <c r="E32" s="55"/>
      <c r="F32" s="55"/>
      <c r="G32" s="55"/>
      <c r="H32" s="55"/>
      <c r="I32" s="55"/>
      <c r="J32" s="55"/>
      <c r="K32" s="55"/>
      <c r="L32" s="55"/>
      <c r="M32" s="55"/>
      <c r="N32" s="55"/>
      <c r="O32" s="55"/>
      <c r="P32" s="55"/>
      <c r="Q32" s="55"/>
      <c r="R32" s="55"/>
      <c r="S32" s="55"/>
    </row>
    <row r="33" spans="2:19" x14ac:dyDescent="0.25">
      <c r="C33" s="55"/>
      <c r="D33" s="55"/>
      <c r="E33" s="55"/>
      <c r="F33" s="55"/>
      <c r="G33" s="55"/>
    </row>
    <row r="34" spans="2:19" ht="32.25" thickBot="1" x14ac:dyDescent="0.3">
      <c r="E34" s="55"/>
      <c r="F34" s="55"/>
      <c r="G34" s="55"/>
      <c r="H34" s="64" t="s">
        <v>299</v>
      </c>
      <c r="I34" s="64"/>
      <c r="J34" s="64" t="s">
        <v>184</v>
      </c>
      <c r="K34" s="64"/>
      <c r="L34" s="66" t="s">
        <v>300</v>
      </c>
      <c r="M34" s="64"/>
      <c r="N34" s="66" t="s">
        <v>301</v>
      </c>
      <c r="O34" s="64"/>
      <c r="P34" s="66" t="s">
        <v>186</v>
      </c>
      <c r="Q34" s="64"/>
      <c r="R34" s="66" t="s">
        <v>187</v>
      </c>
      <c r="S34" s="64"/>
    </row>
    <row r="35" spans="2:19" ht="15.75" x14ac:dyDescent="0.25">
      <c r="D35" s="55"/>
      <c r="E35" s="55"/>
      <c r="F35" s="55"/>
      <c r="G35" s="55"/>
      <c r="H35" s="65"/>
      <c r="I35" s="64"/>
      <c r="J35" s="65"/>
      <c r="K35" s="64"/>
      <c r="L35" s="64"/>
      <c r="M35" s="64"/>
      <c r="N35" s="64"/>
      <c r="O35" s="64"/>
      <c r="P35" s="64"/>
      <c r="Q35" s="64"/>
      <c r="R35" s="64"/>
      <c r="S35" s="64"/>
    </row>
    <row r="36" spans="2:19" ht="15.75" x14ac:dyDescent="0.25">
      <c r="D36" s="55"/>
      <c r="E36" s="55"/>
      <c r="F36" s="55"/>
      <c r="G36" s="55"/>
      <c r="I36" s="64"/>
      <c r="J36" s="64"/>
      <c r="K36" s="64"/>
      <c r="L36" s="64"/>
      <c r="M36" s="64"/>
      <c r="N36" s="64"/>
      <c r="O36" s="64"/>
      <c r="P36" s="64"/>
      <c r="Q36" s="64"/>
      <c r="R36" s="64"/>
      <c r="S36" s="64"/>
    </row>
    <row r="37" spans="2:19" ht="24" customHeight="1" x14ac:dyDescent="0.25">
      <c r="B37" s="244">
        <v>1</v>
      </c>
      <c r="C37" s="267" t="s">
        <v>236</v>
      </c>
      <c r="D37" s="406" t="s">
        <v>172</v>
      </c>
      <c r="E37" s="406"/>
      <c r="F37" s="406"/>
      <c r="G37" s="406"/>
      <c r="H37" s="326">
        <v>0</v>
      </c>
      <c r="I37" s="327"/>
      <c r="J37" s="326">
        <v>1</v>
      </c>
      <c r="K37" s="327"/>
      <c r="L37" s="326">
        <v>0</v>
      </c>
      <c r="M37" s="326"/>
      <c r="N37" s="326">
        <v>0</v>
      </c>
      <c r="O37" s="326"/>
      <c r="P37" s="326">
        <v>0</v>
      </c>
      <c r="Q37" s="327"/>
      <c r="R37" s="326">
        <v>0</v>
      </c>
      <c r="S37" s="193"/>
    </row>
    <row r="38" spans="2:19" ht="24" customHeight="1" x14ac:dyDescent="0.25">
      <c r="B38" s="244">
        <v>2</v>
      </c>
      <c r="C38" s="267" t="s">
        <v>237</v>
      </c>
      <c r="D38" s="406" t="s">
        <v>302</v>
      </c>
      <c r="E38" s="406"/>
      <c r="F38" s="406"/>
      <c r="G38" s="406"/>
      <c r="H38" s="326">
        <f>'A Y II D4'!C26</f>
        <v>9</v>
      </c>
      <c r="I38" s="327"/>
      <c r="J38" s="326">
        <v>1</v>
      </c>
      <c r="K38" s="327"/>
      <c r="L38" s="326">
        <f>'A Y II D4'!C26</f>
        <v>9</v>
      </c>
      <c r="M38" s="326"/>
      <c r="N38" s="326">
        <f>'A Y II D4'!M26</f>
        <v>9</v>
      </c>
      <c r="O38" s="326"/>
      <c r="P38" s="384">
        <f>'A Y II D4'!P26</f>
        <v>0</v>
      </c>
      <c r="Q38" s="327"/>
      <c r="R38" s="326">
        <v>0</v>
      </c>
      <c r="S38" s="193"/>
    </row>
    <row r="39" spans="2:19" ht="42" customHeight="1" x14ac:dyDescent="0.25">
      <c r="B39" s="244">
        <v>3</v>
      </c>
      <c r="C39" s="267" t="s">
        <v>235</v>
      </c>
      <c r="D39" s="407" t="s">
        <v>173</v>
      </c>
      <c r="E39" s="407"/>
      <c r="F39" s="407"/>
      <c r="G39" s="407"/>
      <c r="H39" s="326">
        <v>0</v>
      </c>
      <c r="I39" s="327"/>
      <c r="J39" s="326">
        <v>1</v>
      </c>
      <c r="K39" s="327"/>
      <c r="L39" s="326">
        <v>0</v>
      </c>
      <c r="M39" s="326"/>
      <c r="N39" s="326">
        <v>0</v>
      </c>
      <c r="O39" s="326"/>
      <c r="P39" s="327" t="s">
        <v>234</v>
      </c>
      <c r="Q39" s="327"/>
      <c r="R39" s="327" t="s">
        <v>234</v>
      </c>
      <c r="S39" s="193"/>
    </row>
    <row r="40" spans="2:19" ht="24" customHeight="1" x14ac:dyDescent="0.25">
      <c r="B40" s="244">
        <v>4</v>
      </c>
      <c r="C40" s="267" t="s">
        <v>238</v>
      </c>
      <c r="D40" s="406" t="s">
        <v>174</v>
      </c>
      <c r="E40" s="406"/>
      <c r="F40" s="406"/>
      <c r="G40" s="406"/>
      <c r="H40" s="326">
        <f>'II B) Y 1'!C356</f>
        <v>338</v>
      </c>
      <c r="I40" s="327"/>
      <c r="J40" s="326">
        <v>7</v>
      </c>
      <c r="K40" s="327"/>
      <c r="L40" s="326">
        <f>'II B) Y 1'!C356</f>
        <v>338</v>
      </c>
      <c r="M40" s="326"/>
      <c r="N40" s="327">
        <f>'II B) Y 1'!C356</f>
        <v>338</v>
      </c>
      <c r="O40" s="327"/>
      <c r="P40" s="384">
        <f>'II B) Y 1'!Y356</f>
        <v>14728485.860000018</v>
      </c>
      <c r="Q40" s="327"/>
      <c r="R40" s="327" t="s">
        <v>234</v>
      </c>
      <c r="S40" s="193"/>
    </row>
    <row r="41" spans="2:19" ht="24" customHeight="1" x14ac:dyDescent="0.25">
      <c r="B41" s="244">
        <v>5</v>
      </c>
      <c r="C41" s="267" t="s">
        <v>239</v>
      </c>
      <c r="D41" s="406" t="s">
        <v>175</v>
      </c>
      <c r="E41" s="406"/>
      <c r="F41" s="406"/>
      <c r="G41" s="406"/>
      <c r="H41" s="326">
        <f>'II C y 1_'!C354</f>
        <v>338</v>
      </c>
      <c r="I41" s="327"/>
      <c r="J41" s="326">
        <v>8</v>
      </c>
      <c r="K41" s="327"/>
      <c r="L41" s="326">
        <f>H41</f>
        <v>338</v>
      </c>
      <c r="M41" s="326"/>
      <c r="N41" s="326">
        <f>H41</f>
        <v>338</v>
      </c>
      <c r="O41" s="326"/>
      <c r="P41" s="384">
        <f>'II C y 1_'!U354</f>
        <v>2456724.1500000027</v>
      </c>
      <c r="Q41" s="327"/>
      <c r="R41" s="326">
        <v>0</v>
      </c>
      <c r="S41" s="193"/>
    </row>
    <row r="42" spans="2:19" ht="24" customHeight="1" x14ac:dyDescent="0.25">
      <c r="B42" s="244">
        <v>6</v>
      </c>
      <c r="C42" s="267" t="s">
        <v>240</v>
      </c>
      <c r="D42" s="406" t="s">
        <v>1947</v>
      </c>
      <c r="E42" s="406"/>
      <c r="F42" s="406"/>
      <c r="G42" s="406"/>
      <c r="H42" s="326">
        <f>'MOVIMIENTO DE PERSONAL POR CENT'!E39</f>
        <v>23</v>
      </c>
      <c r="I42" s="327"/>
      <c r="J42" s="326">
        <v>2</v>
      </c>
      <c r="K42" s="327"/>
      <c r="L42" s="326">
        <f>H42</f>
        <v>23</v>
      </c>
      <c r="M42" s="326"/>
      <c r="N42" s="326">
        <f>H42</f>
        <v>23</v>
      </c>
      <c r="O42" s="326"/>
      <c r="P42" s="327" t="s">
        <v>234</v>
      </c>
      <c r="Q42" s="327"/>
      <c r="R42" s="327" t="s">
        <v>234</v>
      </c>
      <c r="S42" s="193"/>
    </row>
    <row r="43" spans="2:19" ht="24" customHeight="1" x14ac:dyDescent="0.25">
      <c r="B43" s="244">
        <v>7</v>
      </c>
      <c r="C43" s="267" t="s">
        <v>241</v>
      </c>
      <c r="D43" s="406" t="s">
        <v>176</v>
      </c>
      <c r="E43" s="406"/>
      <c r="F43" s="406"/>
      <c r="G43" s="406"/>
      <c r="H43" s="326">
        <v>0</v>
      </c>
      <c r="I43" s="327"/>
      <c r="J43" s="326">
        <v>0</v>
      </c>
      <c r="K43" s="327"/>
      <c r="L43" s="326">
        <v>0</v>
      </c>
      <c r="M43" s="326"/>
      <c r="N43" s="326">
        <v>0</v>
      </c>
      <c r="O43" s="326"/>
      <c r="P43" s="327" t="s">
        <v>234</v>
      </c>
      <c r="Q43" s="327"/>
      <c r="R43" s="327" t="s">
        <v>234</v>
      </c>
      <c r="S43" s="193"/>
    </row>
    <row r="44" spans="2:19" ht="24" customHeight="1" x14ac:dyDescent="0.25">
      <c r="B44" s="244">
        <v>8</v>
      </c>
      <c r="C44" s="267" t="s">
        <v>242</v>
      </c>
      <c r="D44" s="406" t="s">
        <v>233</v>
      </c>
      <c r="E44" s="406"/>
      <c r="F44" s="406"/>
      <c r="G44" s="406"/>
      <c r="H44" s="326">
        <v>0</v>
      </c>
      <c r="I44" s="327"/>
      <c r="J44" s="326">
        <v>0</v>
      </c>
      <c r="K44" s="327"/>
      <c r="L44" s="326">
        <v>0</v>
      </c>
      <c r="M44" s="326"/>
      <c r="N44" s="326">
        <v>0</v>
      </c>
      <c r="O44" s="326"/>
      <c r="P44" s="326">
        <v>0</v>
      </c>
      <c r="Q44" s="327"/>
      <c r="R44" s="326">
        <v>0</v>
      </c>
      <c r="S44" s="193"/>
    </row>
    <row r="45" spans="2:19" ht="24" customHeight="1" x14ac:dyDescent="0.25">
      <c r="B45" s="244">
        <v>9</v>
      </c>
      <c r="C45" s="267" t="s">
        <v>243</v>
      </c>
      <c r="D45" s="410" t="s">
        <v>177</v>
      </c>
      <c r="E45" s="410"/>
      <c r="F45" s="410"/>
      <c r="G45" s="410"/>
      <c r="H45" s="326">
        <f>'II D) 6'!D156</f>
        <v>138</v>
      </c>
      <c r="I45" s="327"/>
      <c r="J45" s="326">
        <v>4</v>
      </c>
      <c r="K45" s="327"/>
      <c r="L45" s="326">
        <f>H45</f>
        <v>138</v>
      </c>
      <c r="M45" s="326"/>
      <c r="N45" s="327" t="s">
        <v>234</v>
      </c>
      <c r="O45" s="327"/>
      <c r="P45" s="384">
        <f>'II D) 6'!M156</f>
        <v>747625.28999999922</v>
      </c>
      <c r="Q45" s="327"/>
      <c r="R45" s="327" t="s">
        <v>234</v>
      </c>
      <c r="S45" s="193"/>
    </row>
    <row r="46" spans="2:19" ht="24" customHeight="1" x14ac:dyDescent="0.25">
      <c r="B46" s="244">
        <v>10</v>
      </c>
      <c r="C46" s="267" t="s">
        <v>244</v>
      </c>
      <c r="D46" s="406" t="s">
        <v>178</v>
      </c>
      <c r="E46" s="406"/>
      <c r="F46" s="406"/>
      <c r="G46" s="406"/>
      <c r="H46" s="326">
        <f>'II D) 7 1'!D34</f>
        <v>17</v>
      </c>
      <c r="I46" s="327"/>
      <c r="J46" s="326">
        <v>1</v>
      </c>
      <c r="K46" s="327"/>
      <c r="L46" s="327" t="s">
        <v>234</v>
      </c>
      <c r="M46" s="327"/>
      <c r="N46" s="327" t="s">
        <v>234</v>
      </c>
      <c r="O46" s="327"/>
      <c r="P46" s="327" t="s">
        <v>234</v>
      </c>
      <c r="Q46" s="327"/>
      <c r="R46" s="327" t="s">
        <v>234</v>
      </c>
      <c r="S46" s="193"/>
    </row>
    <row r="47" spans="2:19" ht="24" customHeight="1" x14ac:dyDescent="0.25">
      <c r="B47" s="244">
        <v>11</v>
      </c>
      <c r="C47" s="267" t="s">
        <v>245</v>
      </c>
      <c r="D47" s="406" t="s">
        <v>179</v>
      </c>
      <c r="E47" s="406"/>
      <c r="F47" s="406"/>
      <c r="G47" s="406"/>
      <c r="H47" s="326">
        <f>'II D) 7 2 '!C36</f>
        <v>17</v>
      </c>
      <c r="I47" s="327"/>
      <c r="J47" s="326">
        <v>1</v>
      </c>
      <c r="K47" s="327"/>
      <c r="L47" s="327" t="s">
        <v>234</v>
      </c>
      <c r="M47" s="327"/>
      <c r="N47" s="327" t="s">
        <v>234</v>
      </c>
      <c r="O47" s="327"/>
      <c r="P47" s="327" t="s">
        <v>234</v>
      </c>
      <c r="Q47" s="327"/>
      <c r="R47" s="327" t="s">
        <v>234</v>
      </c>
      <c r="S47" s="193"/>
    </row>
    <row r="48" spans="2:19" ht="24" customHeight="1" x14ac:dyDescent="0.25">
      <c r="B48" s="244">
        <v>12</v>
      </c>
      <c r="C48" s="267" t="s">
        <v>246</v>
      </c>
      <c r="D48" s="406" t="s">
        <v>180</v>
      </c>
      <c r="E48" s="406"/>
      <c r="F48" s="406"/>
      <c r="G48" s="406"/>
      <c r="H48" s="326">
        <f>'II D) 7 3'!B191</f>
        <v>174</v>
      </c>
      <c r="I48" s="327"/>
      <c r="J48" s="326">
        <v>7</v>
      </c>
      <c r="K48" s="327"/>
      <c r="L48" s="327" t="s">
        <v>234</v>
      </c>
      <c r="M48" s="327"/>
      <c r="N48" s="327" t="s">
        <v>234</v>
      </c>
      <c r="O48" s="327"/>
      <c r="P48" s="327" t="s">
        <v>234</v>
      </c>
      <c r="Q48" s="327"/>
      <c r="R48" s="327" t="s">
        <v>234</v>
      </c>
      <c r="S48" s="193"/>
    </row>
    <row r="49" spans="2:19" ht="24" customHeight="1" x14ac:dyDescent="0.25">
      <c r="B49" s="244">
        <v>13</v>
      </c>
      <c r="C49" s="267" t="s">
        <v>247</v>
      </c>
      <c r="D49" s="406" t="s">
        <v>304</v>
      </c>
      <c r="E49" s="406"/>
      <c r="F49" s="406"/>
      <c r="G49" s="406"/>
      <c r="H49" s="326">
        <v>0</v>
      </c>
      <c r="I49" s="327"/>
      <c r="J49" s="326">
        <v>0</v>
      </c>
      <c r="K49" s="327"/>
      <c r="L49" s="326">
        <v>0</v>
      </c>
      <c r="M49" s="327"/>
      <c r="N49" s="327" t="s">
        <v>234</v>
      </c>
      <c r="O49" s="327"/>
      <c r="P49" s="327" t="s">
        <v>234</v>
      </c>
      <c r="Q49" s="327"/>
      <c r="R49" s="327" t="s">
        <v>234</v>
      </c>
      <c r="S49" s="193"/>
    </row>
    <row r="50" spans="2:19" ht="40.5" customHeight="1" x14ac:dyDescent="0.25">
      <c r="B50" s="244">
        <v>14</v>
      </c>
      <c r="C50" s="267" t="s">
        <v>248</v>
      </c>
      <c r="D50" s="407" t="s">
        <v>181</v>
      </c>
      <c r="E50" s="407"/>
      <c r="F50" s="407"/>
      <c r="G50" s="407"/>
      <c r="H50" s="326">
        <v>0</v>
      </c>
      <c r="I50" s="327"/>
      <c r="J50" s="326">
        <v>0</v>
      </c>
      <c r="K50" s="327"/>
      <c r="L50" s="326">
        <v>0</v>
      </c>
      <c r="M50" s="327"/>
      <c r="N50" s="327" t="s">
        <v>234</v>
      </c>
      <c r="O50" s="327"/>
      <c r="P50" s="327" t="s">
        <v>234</v>
      </c>
      <c r="Q50" s="327"/>
      <c r="R50" s="327" t="s">
        <v>234</v>
      </c>
      <c r="S50" s="193"/>
    </row>
    <row r="51" spans="2:19" ht="41.25" customHeight="1" x14ac:dyDescent="0.25">
      <c r="B51" s="244">
        <v>15</v>
      </c>
      <c r="C51" s="267" t="s">
        <v>249</v>
      </c>
      <c r="D51" s="407" t="s">
        <v>182</v>
      </c>
      <c r="E51" s="407"/>
      <c r="F51" s="407"/>
      <c r="G51" s="407"/>
      <c r="H51" s="326">
        <v>1</v>
      </c>
      <c r="I51" s="327"/>
      <c r="J51" s="326">
        <v>1</v>
      </c>
      <c r="K51" s="327"/>
      <c r="L51" s="326">
        <v>1</v>
      </c>
      <c r="M51" s="327"/>
      <c r="N51" s="326">
        <v>1</v>
      </c>
      <c r="O51" s="326"/>
      <c r="P51" s="327" t="s">
        <v>234</v>
      </c>
      <c r="Q51" s="327"/>
      <c r="R51" s="327" t="s">
        <v>234</v>
      </c>
      <c r="S51" s="193"/>
    </row>
    <row r="52" spans="2:19" ht="60" customHeight="1" x14ac:dyDescent="0.25">
      <c r="B52" s="244">
        <v>16</v>
      </c>
      <c r="C52" s="267" t="s">
        <v>250</v>
      </c>
      <c r="D52" s="411" t="s">
        <v>183</v>
      </c>
      <c r="E52" s="411"/>
      <c r="F52" s="411"/>
      <c r="G52" s="411"/>
      <c r="H52" s="326">
        <v>0</v>
      </c>
      <c r="I52" s="327"/>
      <c r="J52" s="326">
        <v>0</v>
      </c>
      <c r="K52" s="327"/>
      <c r="L52" s="326">
        <v>0</v>
      </c>
      <c r="M52" s="327"/>
      <c r="N52" s="327" t="s">
        <v>234</v>
      </c>
      <c r="O52" s="327"/>
      <c r="P52" s="327" t="s">
        <v>234</v>
      </c>
      <c r="Q52" s="327"/>
      <c r="R52" s="327" t="s">
        <v>234</v>
      </c>
      <c r="S52" s="193"/>
    </row>
    <row r="53" spans="2:19" x14ac:dyDescent="0.25">
      <c r="D53" s="63"/>
      <c r="E53" s="63"/>
      <c r="F53" s="63"/>
      <c r="G53" s="63"/>
    </row>
    <row r="54" spans="2:19" x14ac:dyDescent="0.25">
      <c r="D54" s="63"/>
      <c r="E54" s="63"/>
      <c r="F54" s="63"/>
      <c r="G54" s="63"/>
      <c r="H54" s="271"/>
    </row>
    <row r="55" spans="2:19" x14ac:dyDescent="0.25">
      <c r="D55" s="63"/>
      <c r="E55" s="63"/>
      <c r="F55" s="63"/>
      <c r="G55" s="63"/>
    </row>
    <row r="56" spans="2:19" x14ac:dyDescent="0.25">
      <c r="D56" s="63"/>
      <c r="E56" s="63"/>
      <c r="F56" s="63"/>
      <c r="G56" s="63"/>
    </row>
    <row r="57" spans="2:19" x14ac:dyDescent="0.25">
      <c r="D57" s="63"/>
      <c r="E57" s="63"/>
      <c r="F57" s="63"/>
      <c r="G57" s="63"/>
    </row>
    <row r="58" spans="2:19" x14ac:dyDescent="0.25">
      <c r="D58" s="63"/>
      <c r="E58" s="63"/>
      <c r="F58" s="63"/>
      <c r="G58" s="63"/>
    </row>
    <row r="59" spans="2:19" x14ac:dyDescent="0.25">
      <c r="D59" s="63"/>
      <c r="E59" s="63"/>
      <c r="F59" s="63"/>
      <c r="G59" s="63"/>
    </row>
  </sheetData>
  <mergeCells count="18">
    <mergeCell ref="D13:R15"/>
    <mergeCell ref="D24:P24"/>
    <mergeCell ref="D43:G43"/>
    <mergeCell ref="D44:G44"/>
    <mergeCell ref="D45:G45"/>
    <mergeCell ref="D46:G46"/>
    <mergeCell ref="D47:G47"/>
    <mergeCell ref="D48:G48"/>
    <mergeCell ref="D49:G49"/>
    <mergeCell ref="D50:G50"/>
    <mergeCell ref="D51:G51"/>
    <mergeCell ref="D52:G52"/>
    <mergeCell ref="D42:G42"/>
    <mergeCell ref="D37:G37"/>
    <mergeCell ref="D38:G38"/>
    <mergeCell ref="D39:G39"/>
    <mergeCell ref="D40:G40"/>
    <mergeCell ref="D41:G41"/>
  </mergeCells>
  <hyperlinks>
    <hyperlink ref="D40" location="'II B) Y 1'!A1" display="'II B) Y 1'!A1"/>
    <hyperlink ref="D41" location="'II C y 1_'!A1" display="'II C y 1_'!A1"/>
    <hyperlink ref="D43" location="'II D) 4'!A1" display="'II D) 4'!A1"/>
    <hyperlink ref="D44" location="'II D) 4 A'!A1" display="'II D) 4 A'!A1"/>
    <hyperlink ref="D45" location="'II D) 6'!A1" display="'II D) 6'!A1"/>
    <hyperlink ref="D46" location="'II D) 7 1'!A1" display="'II D) 7 1'!A1"/>
    <hyperlink ref="D47" location="'II D) 7 2 '!A1" display="'II D) 7 2 '!A1"/>
    <hyperlink ref="D48" location="'II D) 7 3'!A1" display="'II D) 7 3'!A1"/>
    <hyperlink ref="D49" location="'E)'!A1" display="'E)'!A1"/>
    <hyperlink ref="D50" location="'F) 1'!A1" display="Trabajadores con Doble Asignación Salarial en Municipios no Colindantes Geográficamente"/>
    <hyperlink ref="D51" location="'F) 2'!A1" display="'F) 2'!A1"/>
    <hyperlink ref="C38" location="'A Y II D4'!A1" display="A y II D4"/>
    <hyperlink ref="C39" location="'B)'!A1" display="B   "/>
    <hyperlink ref="C40" location="'II B) Y 1'!A1" display="II B y 1"/>
    <hyperlink ref="C41" location="'II C y 1_'!A1" display="II C y 1"/>
    <hyperlink ref="C42" location="'II D) 2'!A1" display="II D2"/>
    <hyperlink ref="C43" location="'II D) 4'!A1" display="II D4"/>
    <hyperlink ref="C44" location="'II D) 4 A'!A1" display="II D 4A"/>
    <hyperlink ref="C45" location="'II D) 6'!A1" display="II D 6"/>
    <hyperlink ref="C46" location="'II D) 7 1'!A1" display="II D 71 "/>
    <hyperlink ref="C47" location="'II D) 7 2 '!A1" display="II D 72 "/>
    <hyperlink ref="C48" location="'II D) 7 3'!A1" display="II D 73 "/>
    <hyperlink ref="C49" location="'E)'!A1" display="E"/>
    <hyperlink ref="C50" location="'F) 1'!A1" display="F1"/>
    <hyperlink ref="C51" location="'F) 2'!A1" display="F2"/>
    <hyperlink ref="C52" location="'G)'!A1" display="G"/>
    <hyperlink ref="C37" location="'A Y  II D3'!A1" display="A y II D3"/>
    <hyperlink ref="D52" location="'G)'!A1" display="Trabajadores Cuyo Salario Básico Supere los Ingresos Promedio de un Docente en la Categoría más Alta del Tabulador Salarial Correspondiente a Cada Entidad"/>
    <hyperlink ref="D39" location="'B)'!A1" display="'B)'!A1"/>
    <hyperlink ref="D38" location="'A Y II D4'!A1" display="'A Y II D4'!A1"/>
    <hyperlink ref="D37" location="'A Y  II D3'!A1" display="Personal Comisionado"/>
    <hyperlink ref="D42" location="'II D) 2'!A1" display="'II D) 2'!A1"/>
  </hyperlinks>
  <pageMargins left="0.23622047244094491" right="0.23622047244094491" top="0.39370078740157483" bottom="0.39370078740157483" header="0.31496062992125984" footer="0.31496062992125984"/>
  <pageSetup paperSize="9" scale="50" orientation="portrait" r:id="rId1"/>
  <ignoredErrors>
    <ignoredError sqref="H38:H41 L39:O39 L38:P38 Q38:R38 L44:P44 L40:M40 O40 Q40:R40 L46:R49 L45:O45 Q45:R45 Q39:R39 L41:O41 Q41:R41 L42:O42 Q42:R42 L43:O43 Q43:R43 Q44:R44 P40:P43 P45 H43:H49"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Listas!#REF!</xm:f>
          </x14:formula1>
          <xm:sqref>E25:O25 E23 D24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8"/>
  <sheetViews>
    <sheetView showGridLines="0" view="pageLayout" topLeftCell="A70" zoomScale="90" zoomScaleNormal="80" zoomScalePageLayoutView="90" workbookViewId="0">
      <selection activeCell="F79" sqref="F79"/>
    </sheetView>
  </sheetViews>
  <sheetFormatPr baseColWidth="10" defaultColWidth="3.5703125" defaultRowHeight="15" x14ac:dyDescent="0.25"/>
  <cols>
    <col min="1" max="1" width="3.5703125" style="1" customWidth="1"/>
    <col min="2" max="2" width="16.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6" customFormat="1" ht="15.4" customHeight="1" x14ac:dyDescent="0.25"/>
    <row r="9" spans="2:25" s="90" customFormat="1" ht="18.75" x14ac:dyDescent="0.3">
      <c r="B9" s="87" t="s">
        <v>134</v>
      </c>
      <c r="C9" s="88"/>
      <c r="D9" s="88"/>
      <c r="E9" s="88"/>
      <c r="F9" s="88"/>
      <c r="G9" s="88"/>
      <c r="H9" s="88"/>
      <c r="I9" s="88"/>
      <c r="J9" s="88"/>
      <c r="K9" s="88"/>
      <c r="L9" s="88"/>
      <c r="M9" s="88"/>
      <c r="N9" s="88"/>
      <c r="O9" s="88"/>
      <c r="P9" s="88"/>
      <c r="Q9" s="88"/>
      <c r="R9" s="88"/>
      <c r="S9" s="88"/>
      <c r="T9" s="88"/>
      <c r="U9" s="88"/>
      <c r="V9" s="88"/>
      <c r="W9" s="385" t="s">
        <v>135</v>
      </c>
      <c r="X9" s="88" t="s">
        <v>305</v>
      </c>
      <c r="Y9" s="89"/>
    </row>
    <row r="10" spans="2:25" s="90" customFormat="1" ht="17.100000000000001" customHeight="1" x14ac:dyDescent="0.3">
      <c r="B10" s="413" t="s">
        <v>252</v>
      </c>
      <c r="C10" s="414"/>
      <c r="D10" s="414"/>
      <c r="E10" s="414"/>
      <c r="F10" s="414"/>
      <c r="G10" s="414"/>
      <c r="H10" s="414"/>
      <c r="I10" s="414"/>
      <c r="J10" s="414"/>
      <c r="K10" s="414"/>
      <c r="L10" s="414"/>
      <c r="M10" s="414"/>
      <c r="N10" s="414"/>
      <c r="O10" s="91"/>
      <c r="P10" s="91"/>
      <c r="Q10" s="91"/>
      <c r="R10" s="91"/>
      <c r="S10" s="91"/>
      <c r="T10" s="91"/>
      <c r="U10" s="91"/>
      <c r="V10" s="91"/>
      <c r="W10" s="261"/>
      <c r="X10" s="277" t="s">
        <v>1721</v>
      </c>
      <c r="Y10" s="92"/>
    </row>
    <row r="11" spans="2:25" s="86" customFormat="1" ht="28.5" customHeight="1" x14ac:dyDescent="0.25">
      <c r="B11" s="93"/>
      <c r="C11" s="94"/>
      <c r="D11" s="94"/>
      <c r="E11" s="94"/>
      <c r="F11" s="94"/>
      <c r="G11" s="94"/>
      <c r="H11" s="94"/>
      <c r="I11" s="94"/>
      <c r="J11" s="94"/>
      <c r="K11" s="94"/>
      <c r="L11" s="94"/>
      <c r="M11" s="94"/>
      <c r="N11" s="94"/>
      <c r="O11" s="94"/>
      <c r="P11" s="94"/>
      <c r="Q11" s="94"/>
      <c r="R11" s="94"/>
      <c r="S11" s="94"/>
      <c r="T11" s="94"/>
      <c r="U11" s="94"/>
      <c r="V11" s="94"/>
      <c r="W11" s="94"/>
      <c r="X11" s="94"/>
      <c r="Y11" s="95"/>
    </row>
    <row r="12" spans="2:25" s="86" customFormat="1" ht="5.0999999999999996" customHeight="1" x14ac:dyDescent="0.35">
      <c r="B12" s="96"/>
      <c r="C12" s="97"/>
      <c r="D12" s="97"/>
      <c r="E12" s="97"/>
      <c r="F12" s="97"/>
      <c r="G12" s="97"/>
      <c r="H12" s="97"/>
      <c r="I12" s="97"/>
      <c r="J12" s="97"/>
      <c r="K12" s="96"/>
      <c r="L12" s="96"/>
    </row>
    <row r="13" spans="2:25" s="98" customFormat="1" ht="14.25" customHeight="1" x14ac:dyDescent="0.2">
      <c r="B13" s="412" t="s">
        <v>0</v>
      </c>
      <c r="C13" s="412" t="s">
        <v>44</v>
      </c>
      <c r="D13" s="412" t="s">
        <v>18</v>
      </c>
      <c r="E13" s="412" t="s">
        <v>37</v>
      </c>
      <c r="F13" s="412" t="s">
        <v>45</v>
      </c>
      <c r="G13" s="417" t="s">
        <v>36</v>
      </c>
      <c r="H13" s="417"/>
      <c r="I13" s="417"/>
      <c r="J13" s="417"/>
      <c r="K13" s="417"/>
      <c r="L13" s="417"/>
      <c r="M13" s="417"/>
      <c r="N13" s="412" t="s">
        <v>46</v>
      </c>
      <c r="O13" s="412"/>
      <c r="P13" s="412" t="s">
        <v>42</v>
      </c>
      <c r="Q13" s="412" t="s">
        <v>43</v>
      </c>
      <c r="R13" s="412" t="s">
        <v>47</v>
      </c>
      <c r="S13" s="412" t="s">
        <v>48</v>
      </c>
      <c r="T13" s="412"/>
      <c r="U13" s="412" t="s">
        <v>49</v>
      </c>
      <c r="V13" s="412" t="s">
        <v>50</v>
      </c>
      <c r="W13" s="412" t="s">
        <v>51</v>
      </c>
      <c r="X13" s="412" t="s">
        <v>52</v>
      </c>
      <c r="Y13" s="412" t="s">
        <v>53</v>
      </c>
    </row>
    <row r="14" spans="2:25" s="98" customFormat="1" ht="66.2" customHeight="1" x14ac:dyDescent="0.2">
      <c r="B14" s="412"/>
      <c r="C14" s="412"/>
      <c r="D14" s="412"/>
      <c r="E14" s="412"/>
      <c r="F14" s="412"/>
      <c r="G14" s="283" t="s">
        <v>33</v>
      </c>
      <c r="H14" s="283" t="s">
        <v>32</v>
      </c>
      <c r="I14" s="283" t="s">
        <v>31</v>
      </c>
      <c r="J14" s="283" t="s">
        <v>30</v>
      </c>
      <c r="K14" s="283" t="s">
        <v>29</v>
      </c>
      <c r="L14" s="284" t="s">
        <v>54</v>
      </c>
      <c r="M14" s="283" t="s">
        <v>55</v>
      </c>
      <c r="N14" s="283" t="s">
        <v>56</v>
      </c>
      <c r="O14" s="283" t="s">
        <v>57</v>
      </c>
      <c r="P14" s="412"/>
      <c r="Q14" s="412"/>
      <c r="R14" s="412"/>
      <c r="S14" s="283" t="s">
        <v>58</v>
      </c>
      <c r="T14" s="283" t="s">
        <v>38</v>
      </c>
      <c r="U14" s="412"/>
      <c r="V14" s="412"/>
      <c r="W14" s="412"/>
      <c r="X14" s="412"/>
      <c r="Y14" s="412"/>
    </row>
    <row r="15" spans="2:25" s="86" customFormat="1" ht="5.0999999999999996" customHeight="1" x14ac:dyDescent="0.25"/>
    <row r="16" spans="2:25" ht="63.75" hidden="1" x14ac:dyDescent="0.25">
      <c r="B16" s="203" t="s">
        <v>0</v>
      </c>
      <c r="C16" s="203" t="s">
        <v>44</v>
      </c>
      <c r="D16" s="203" t="s">
        <v>18</v>
      </c>
      <c r="E16" s="203" t="s">
        <v>37</v>
      </c>
      <c r="F16" s="203" t="s">
        <v>45</v>
      </c>
      <c r="G16" s="194" t="s">
        <v>33</v>
      </c>
      <c r="H16" s="194" t="s">
        <v>32</v>
      </c>
      <c r="I16" s="194" t="s">
        <v>31</v>
      </c>
      <c r="J16" s="194" t="s">
        <v>30</v>
      </c>
      <c r="K16" s="194" t="s">
        <v>29</v>
      </c>
      <c r="L16" s="194" t="s">
        <v>54</v>
      </c>
      <c r="M16" s="194" t="s">
        <v>55</v>
      </c>
      <c r="N16" s="194" t="s">
        <v>202</v>
      </c>
      <c r="O16" s="194" t="s">
        <v>203</v>
      </c>
      <c r="P16" s="203" t="s">
        <v>42</v>
      </c>
      <c r="Q16" s="203" t="s">
        <v>43</v>
      </c>
      <c r="R16" s="203" t="s">
        <v>47</v>
      </c>
      <c r="S16" s="194" t="s">
        <v>58</v>
      </c>
      <c r="T16" s="194" t="s">
        <v>38</v>
      </c>
      <c r="U16" s="203" t="s">
        <v>49</v>
      </c>
      <c r="V16" s="203" t="s">
        <v>50</v>
      </c>
      <c r="W16" s="203" t="s">
        <v>51</v>
      </c>
      <c r="X16" s="203" t="s">
        <v>52</v>
      </c>
      <c r="Y16" s="203" t="s">
        <v>53</v>
      </c>
    </row>
    <row r="17" spans="2:25" s="255" customFormat="1" x14ac:dyDescent="0.25">
      <c r="B17" s="328"/>
      <c r="C17" s="329"/>
      <c r="D17" s="329"/>
      <c r="E17" s="329"/>
      <c r="F17" s="329"/>
      <c r="G17" s="328"/>
      <c r="H17" s="330"/>
      <c r="I17" s="328"/>
      <c r="J17" s="328"/>
      <c r="K17" s="329"/>
      <c r="L17" s="331"/>
      <c r="M17" s="328"/>
      <c r="N17" s="328"/>
      <c r="O17" s="328"/>
      <c r="P17" s="332"/>
      <c r="Q17" s="333"/>
      <c r="R17" s="334"/>
      <c r="S17" s="328"/>
      <c r="T17" s="334"/>
      <c r="U17" s="329"/>
      <c r="V17" s="334"/>
      <c r="W17" s="329"/>
      <c r="X17" s="335"/>
      <c r="Y17" s="333"/>
    </row>
    <row r="18" spans="2:25" s="255" customFormat="1" x14ac:dyDescent="0.25">
      <c r="B18" s="328"/>
      <c r="C18" s="329"/>
      <c r="D18" s="329"/>
      <c r="E18" s="329"/>
      <c r="F18" s="329"/>
      <c r="G18" s="328"/>
      <c r="H18" s="330"/>
      <c r="I18" s="328"/>
      <c r="J18" s="328"/>
      <c r="K18" s="329"/>
      <c r="L18" s="331"/>
      <c r="M18" s="328"/>
      <c r="N18" s="328"/>
      <c r="O18" s="328"/>
      <c r="P18" s="332"/>
      <c r="Q18" s="333"/>
      <c r="R18" s="334"/>
      <c r="S18" s="328"/>
      <c r="T18" s="334"/>
      <c r="U18" s="329"/>
      <c r="V18" s="334"/>
      <c r="W18" s="329"/>
      <c r="X18" s="335"/>
      <c r="Y18" s="333"/>
    </row>
    <row r="19" spans="2:25" s="255" customFormat="1" x14ac:dyDescent="0.25">
      <c r="B19" s="328"/>
      <c r="C19" s="329"/>
      <c r="D19" s="329"/>
      <c r="E19" s="329"/>
      <c r="F19" s="329"/>
      <c r="G19" s="328"/>
      <c r="H19" s="330"/>
      <c r="I19" s="328"/>
      <c r="J19" s="328"/>
      <c r="K19" s="329"/>
      <c r="L19" s="331"/>
      <c r="M19" s="328"/>
      <c r="N19" s="328"/>
      <c r="O19" s="328"/>
      <c r="P19" s="332"/>
      <c r="Q19" s="333"/>
      <c r="R19" s="334"/>
      <c r="S19" s="328"/>
      <c r="T19" s="334"/>
      <c r="U19" s="329"/>
      <c r="V19" s="334"/>
      <c r="W19" s="329"/>
      <c r="X19" s="335"/>
      <c r="Y19" s="333"/>
    </row>
    <row r="20" spans="2:25" s="255" customFormat="1" x14ac:dyDescent="0.25">
      <c r="B20" s="328"/>
      <c r="C20" s="329"/>
      <c r="D20" s="329"/>
      <c r="E20" s="329"/>
      <c r="F20" s="329"/>
      <c r="G20" s="328"/>
      <c r="H20" s="330"/>
      <c r="I20" s="328"/>
      <c r="J20" s="328"/>
      <c r="K20" s="329"/>
      <c r="L20" s="331"/>
      <c r="M20" s="328"/>
      <c r="N20" s="328"/>
      <c r="O20" s="328"/>
      <c r="P20" s="332"/>
      <c r="Q20" s="333"/>
      <c r="R20" s="334"/>
      <c r="S20" s="328"/>
      <c r="T20" s="334"/>
      <c r="U20" s="329"/>
      <c r="V20" s="334"/>
      <c r="W20" s="329"/>
      <c r="X20" s="335"/>
      <c r="Y20" s="333"/>
    </row>
    <row r="21" spans="2:25" s="255" customFormat="1" x14ac:dyDescent="0.25">
      <c r="B21" s="318"/>
      <c r="C21" s="319"/>
      <c r="D21" s="319"/>
      <c r="E21" s="319"/>
      <c r="F21" s="319"/>
      <c r="G21" s="318"/>
      <c r="H21" s="320"/>
      <c r="I21" s="318"/>
      <c r="J21" s="318"/>
      <c r="K21" s="319"/>
      <c r="L21" s="321"/>
      <c r="M21" s="318"/>
      <c r="N21" s="318"/>
      <c r="O21" s="318"/>
      <c r="P21" s="322"/>
      <c r="Q21" s="323"/>
      <c r="R21" s="324"/>
      <c r="S21" s="318"/>
      <c r="T21" s="324"/>
      <c r="U21" s="319"/>
      <c r="V21" s="324"/>
      <c r="W21" s="319"/>
      <c r="X21" s="325"/>
      <c r="Y21" s="323"/>
    </row>
    <row r="22" spans="2:25" x14ac:dyDescent="0.25">
      <c r="B22" s="106" t="s">
        <v>136</v>
      </c>
      <c r="C22" s="276"/>
      <c r="D22" s="85"/>
      <c r="E22" s="85"/>
      <c r="F22" s="85"/>
      <c r="G22" s="85"/>
      <c r="H22" s="85"/>
      <c r="I22" s="105"/>
      <c r="J22" s="85"/>
      <c r="K22" s="85" t="s">
        <v>137</v>
      </c>
      <c r="L22" s="105"/>
      <c r="M22" s="269"/>
      <c r="N22" s="416" t="s">
        <v>186</v>
      </c>
      <c r="O22" s="416"/>
      <c r="P22" s="117"/>
      <c r="Q22" s="107"/>
      <c r="R22" s="107"/>
      <c r="S22" s="107"/>
      <c r="T22" s="107"/>
      <c r="U22" s="107"/>
      <c r="V22" s="107"/>
      <c r="W22" s="107"/>
      <c r="X22" s="107"/>
      <c r="Y22" s="108"/>
    </row>
    <row r="23" spans="2:25" x14ac:dyDescent="0.25">
      <c r="B23" s="68"/>
      <c r="C23" s="69"/>
      <c r="D23" s="69"/>
      <c r="E23" s="69"/>
      <c r="F23" s="69"/>
      <c r="G23" s="69"/>
      <c r="H23" s="69"/>
      <c r="I23" s="69"/>
      <c r="J23" s="69"/>
      <c r="K23" s="82"/>
      <c r="L23" s="59"/>
      <c r="M23" s="59"/>
      <c r="N23" s="59"/>
      <c r="O23" s="59"/>
      <c r="P23" s="59"/>
      <c r="Q23" s="59"/>
      <c r="R23" s="59"/>
      <c r="S23" s="59"/>
      <c r="T23" s="59"/>
      <c r="U23" s="59"/>
      <c r="V23" s="59"/>
      <c r="W23" s="59"/>
      <c r="X23" s="59"/>
      <c r="Y23" s="67"/>
    </row>
    <row r="24" spans="2:25" x14ac:dyDescent="0.25">
      <c r="B24" s="68"/>
      <c r="C24" s="69"/>
      <c r="D24" s="69"/>
      <c r="E24" s="69"/>
      <c r="F24" s="69"/>
      <c r="G24" s="69"/>
      <c r="H24" s="69"/>
      <c r="I24" s="69"/>
      <c r="J24" s="69"/>
      <c r="K24" s="82"/>
      <c r="L24" s="59"/>
      <c r="M24" s="415" t="s">
        <v>187</v>
      </c>
      <c r="N24" s="415"/>
      <c r="O24" s="415"/>
      <c r="P24" s="59"/>
      <c r="Q24" s="117"/>
      <c r="R24" s="59"/>
      <c r="S24" s="59"/>
      <c r="T24" s="59"/>
      <c r="U24" s="59"/>
      <c r="V24" s="59"/>
      <c r="W24" s="59"/>
      <c r="X24" s="59"/>
      <c r="Y24" s="67"/>
    </row>
    <row r="25" spans="2:25" x14ac:dyDescent="0.25">
      <c r="B25" s="70"/>
      <c r="C25" s="71"/>
      <c r="D25" s="71"/>
      <c r="E25" s="237"/>
      <c r="F25" s="71"/>
      <c r="G25" s="71"/>
      <c r="H25" s="71"/>
      <c r="I25" s="71"/>
      <c r="J25" s="71"/>
      <c r="K25" s="71"/>
      <c r="L25" s="71"/>
      <c r="M25" s="71"/>
      <c r="N25" s="71"/>
      <c r="O25" s="71"/>
      <c r="P25" s="71"/>
      <c r="Q25" s="71"/>
      <c r="R25" s="71"/>
      <c r="S25" s="71"/>
      <c r="T25" s="71"/>
      <c r="U25" s="71"/>
      <c r="V25" s="71"/>
      <c r="W25" s="71"/>
      <c r="X25" s="71"/>
      <c r="Y25" s="72"/>
    </row>
    <row r="26" spans="2:25" x14ac:dyDescent="0.25">
      <c r="B26" s="47" t="s">
        <v>166</v>
      </c>
      <c r="C26" s="50"/>
      <c r="D26" s="50"/>
      <c r="E26" s="50"/>
      <c r="F26" s="50"/>
      <c r="G26" s="50"/>
      <c r="H26" s="50"/>
      <c r="I26" s="50"/>
      <c r="J26" s="50"/>
      <c r="K26" s="50"/>
      <c r="L26" s="50"/>
      <c r="M26" s="50"/>
      <c r="N26" s="50"/>
      <c r="O26" s="50"/>
      <c r="P26" s="50"/>
      <c r="Q26" s="50"/>
      <c r="R26" s="50"/>
      <c r="S26" s="50"/>
      <c r="T26" s="50"/>
      <c r="U26" s="50"/>
      <c r="V26" s="50"/>
      <c r="W26" s="50"/>
      <c r="X26" s="50"/>
      <c r="Y26" s="50"/>
    </row>
    <row r="27" spans="2:25" x14ac:dyDescent="0.25">
      <c r="B27" s="47" t="s">
        <v>167</v>
      </c>
      <c r="C27" s="50"/>
      <c r="D27" s="50"/>
      <c r="E27" s="48"/>
      <c r="F27" s="82"/>
      <c r="G27" s="50"/>
      <c r="H27" s="50"/>
      <c r="I27" s="50"/>
      <c r="J27" s="50"/>
      <c r="K27" s="50"/>
      <c r="L27" s="50"/>
      <c r="M27" s="50"/>
      <c r="N27" s="50"/>
      <c r="O27" s="50"/>
      <c r="P27" s="50"/>
      <c r="Q27" s="50"/>
      <c r="R27" s="50"/>
      <c r="S27" s="50"/>
      <c r="T27" s="50"/>
      <c r="U27" s="50"/>
      <c r="V27" s="50"/>
      <c r="W27" s="50"/>
      <c r="X27" s="50"/>
      <c r="Y27" s="50"/>
    </row>
    <row r="28" spans="2:25" x14ac:dyDescent="0.25">
      <c r="B28" s="50"/>
      <c r="C28" s="50"/>
      <c r="D28" s="50"/>
      <c r="E28" s="50"/>
      <c r="F28" s="221"/>
      <c r="G28" s="50"/>
      <c r="H28" s="50"/>
      <c r="I28" s="50"/>
      <c r="J28" s="50"/>
      <c r="K28" s="50"/>
      <c r="L28" s="50"/>
      <c r="M28" s="50"/>
      <c r="N28" s="50"/>
      <c r="O28" s="50"/>
      <c r="P28" s="50"/>
      <c r="Q28" s="50"/>
      <c r="R28" s="50"/>
      <c r="S28" s="50"/>
      <c r="T28" s="50"/>
      <c r="U28" s="50"/>
      <c r="V28" s="50"/>
      <c r="W28" s="50"/>
      <c r="X28" s="50"/>
      <c r="Y28" s="50"/>
    </row>
  </sheetData>
  <sheetProtection sort="0"/>
  <mergeCells count="19">
    <mergeCell ref="D13:D14"/>
    <mergeCell ref="E13:E14"/>
    <mergeCell ref="F13:F14"/>
    <mergeCell ref="B10:N10"/>
    <mergeCell ref="M24:O24"/>
    <mergeCell ref="N22:O22"/>
    <mergeCell ref="G13:M13"/>
    <mergeCell ref="B13:B14"/>
    <mergeCell ref="C13:C14"/>
    <mergeCell ref="Y13:Y14"/>
    <mergeCell ref="N13:O13"/>
    <mergeCell ref="P13:P14"/>
    <mergeCell ref="Q13:Q14"/>
    <mergeCell ref="R13:R14"/>
    <mergeCell ref="S13:T13"/>
    <mergeCell ref="U13:U14"/>
    <mergeCell ref="V13:V14"/>
    <mergeCell ref="W13:W14"/>
    <mergeCell ref="X13:X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1" fitToHeight="0" orientation="landscape" r:id="rId1"/>
  <headerFooter>
    <oddFooter>&amp;L&amp;G&amp;C&amp;D&amp;R&amp;P de &amp;N</oddFooter>
  </headerFooter>
  <drawing r:id="rId2"/>
  <legacyDrawing r:id="rId3"/>
  <legacyDrawingHF r:id="rId4"/>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Listas!#REF!</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31"/>
  <sheetViews>
    <sheetView showGridLines="0" view="pageLayout" topLeftCell="B7" zoomScale="90" zoomScaleNormal="100" zoomScalePageLayoutView="90" workbookViewId="0">
      <selection activeCell="F79" sqref="F79"/>
    </sheetView>
  </sheetViews>
  <sheetFormatPr baseColWidth="10" defaultRowHeight="14.25" x14ac:dyDescent="0.2"/>
  <cols>
    <col min="1" max="1" width="3.5703125" style="25" customWidth="1"/>
    <col min="2" max="2" width="16.5703125" style="25" customWidth="1"/>
    <col min="3" max="3" width="17.7109375" style="25" bestFit="1" customWidth="1"/>
    <col min="4" max="4" width="23.85546875" style="25" bestFit="1" customWidth="1"/>
    <col min="5" max="5" width="48.5703125" style="25" customWidth="1"/>
    <col min="6" max="6" width="37" style="25" bestFit="1" customWidth="1"/>
    <col min="7" max="7" width="11.85546875" style="25" customWidth="1"/>
    <col min="8" max="8" width="6.7109375" style="25" customWidth="1"/>
    <col min="9" max="9" width="6.85546875" style="25" customWidth="1"/>
    <col min="10" max="10" width="6.7109375" style="25" customWidth="1"/>
    <col min="11" max="11" width="8.7109375" style="25" customWidth="1"/>
    <col min="12" max="13" width="8.85546875" style="25" customWidth="1"/>
    <col min="14" max="15" width="11.28515625" style="25" customWidth="1"/>
    <col min="16" max="16" width="15.42578125" style="25" customWidth="1"/>
    <col min="17" max="17" width="14.85546875" style="25" customWidth="1"/>
    <col min="18" max="18" width="13.140625" style="25" bestFit="1" customWidth="1"/>
    <col min="19" max="19" width="5.5703125" style="25" customWidth="1"/>
    <col min="20" max="20" width="13.140625" style="25" bestFit="1" customWidth="1"/>
    <col min="21" max="21" width="40" style="25" bestFit="1" customWidth="1"/>
    <col min="22" max="248" width="11.42578125" style="25" customWidth="1"/>
    <col min="249" max="249" width="3.5703125" style="25" customWidth="1"/>
    <col min="250" max="250" width="4.5703125" style="25" customWidth="1"/>
    <col min="251" max="252" width="16.5703125" style="25" customWidth="1"/>
    <col min="253" max="253" width="34.42578125" style="25" customWidth="1"/>
    <col min="254" max="16384" width="11.42578125" style="25"/>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40" customFormat="1" ht="18.75" x14ac:dyDescent="0.3">
      <c r="B9" s="41" t="s">
        <v>138</v>
      </c>
      <c r="C9" s="42"/>
      <c r="D9" s="42"/>
      <c r="E9" s="42"/>
      <c r="F9" s="42"/>
      <c r="G9" s="42"/>
      <c r="H9" s="42"/>
      <c r="I9" s="42"/>
      <c r="J9" s="42"/>
      <c r="K9" s="42"/>
      <c r="L9" s="42"/>
      <c r="M9" s="42"/>
      <c r="N9" s="42"/>
      <c r="O9" s="42"/>
      <c r="P9" s="42"/>
      <c r="Q9" s="42"/>
      <c r="R9" s="42"/>
      <c r="S9" s="42"/>
      <c r="T9" s="264" t="str">
        <f>'A Y  II D3'!W9</f>
        <v>Entidad Federativa:</v>
      </c>
      <c r="U9" s="43" t="str">
        <f>'A Y  II D3'!X9</f>
        <v>GUANAJUATO</v>
      </c>
    </row>
    <row r="10" spans="2:21" s="40" customFormat="1" ht="17.100000000000001" customHeight="1" x14ac:dyDescent="0.3">
      <c r="B10" s="418" t="str">
        <f>'A Y  II D3'!B10:N10</f>
        <v>Fondo de Aportaciones para la Educación Tecnológica y de Adultos/Instituto Nacional para la Educación de los Adultos (FAETA/INEA)</v>
      </c>
      <c r="C10" s="419"/>
      <c r="D10" s="419"/>
      <c r="E10" s="419"/>
      <c r="F10" s="419"/>
      <c r="G10" s="419"/>
      <c r="H10" s="259"/>
      <c r="I10" s="259"/>
      <c r="J10" s="44"/>
      <c r="K10" s="44"/>
      <c r="L10" s="44"/>
      <c r="M10" s="44"/>
      <c r="N10" s="44"/>
      <c r="O10" s="44"/>
      <c r="P10" s="44"/>
      <c r="Q10" s="44"/>
      <c r="R10" s="44"/>
      <c r="S10" s="44"/>
      <c r="T10" s="262"/>
      <c r="U10" s="45" t="str">
        <f>'A Y  II D3'!X10</f>
        <v>3er. Trimestre 2019</v>
      </c>
    </row>
    <row r="11" spans="2:21" s="1" customFormat="1" ht="28.5" customHeight="1" x14ac:dyDescent="0.25">
      <c r="B11" s="37"/>
      <c r="C11" s="38"/>
      <c r="D11" s="38"/>
      <c r="E11" s="38"/>
      <c r="F11" s="38"/>
      <c r="G11" s="38"/>
      <c r="H11" s="38"/>
      <c r="I11" s="38"/>
      <c r="J11" s="38"/>
      <c r="K11" s="38"/>
      <c r="L11" s="38"/>
      <c r="M11" s="38"/>
      <c r="N11" s="38"/>
      <c r="O11" s="38"/>
      <c r="P11" s="38"/>
      <c r="Q11" s="38"/>
      <c r="R11" s="38"/>
      <c r="S11" s="38"/>
      <c r="T11" s="38"/>
      <c r="U11" s="46"/>
    </row>
    <row r="12" spans="2:21" ht="5.0999999999999996" customHeight="1" x14ac:dyDescent="0.3">
      <c r="B12" s="26"/>
      <c r="C12" s="26"/>
      <c r="D12" s="27"/>
      <c r="E12" s="27"/>
      <c r="F12" s="27"/>
      <c r="G12" s="27"/>
      <c r="H12" s="27"/>
      <c r="I12" s="27"/>
      <c r="J12" s="27"/>
      <c r="K12" s="27"/>
      <c r="L12" s="27"/>
      <c r="M12" s="27"/>
      <c r="N12" s="28"/>
      <c r="O12" s="28"/>
      <c r="P12" s="28"/>
    </row>
    <row r="13" spans="2:21" s="29" customFormat="1" ht="14.25" customHeight="1" x14ac:dyDescent="0.2">
      <c r="B13" s="412" t="s">
        <v>0</v>
      </c>
      <c r="C13" s="420" t="s">
        <v>44</v>
      </c>
      <c r="D13" s="420" t="s">
        <v>18</v>
      </c>
      <c r="E13" s="420" t="s">
        <v>59</v>
      </c>
      <c r="F13" s="412" t="s">
        <v>45</v>
      </c>
      <c r="G13" s="421" t="s">
        <v>36</v>
      </c>
      <c r="H13" s="421"/>
      <c r="I13" s="421"/>
      <c r="J13" s="421"/>
      <c r="K13" s="421"/>
      <c r="L13" s="421"/>
      <c r="M13" s="421"/>
      <c r="N13" s="420" t="s">
        <v>65</v>
      </c>
      <c r="O13" s="420"/>
      <c r="P13" s="420" t="s">
        <v>108</v>
      </c>
      <c r="Q13" s="420" t="s">
        <v>109</v>
      </c>
      <c r="R13" s="412" t="s">
        <v>47</v>
      </c>
      <c r="S13" s="422" t="s">
        <v>110</v>
      </c>
      <c r="T13" s="423"/>
      <c r="U13" s="420" t="s">
        <v>111</v>
      </c>
    </row>
    <row r="14" spans="2:21" s="29" customFormat="1" ht="78.75" customHeight="1" x14ac:dyDescent="0.2">
      <c r="B14" s="412"/>
      <c r="C14" s="420"/>
      <c r="D14" s="420"/>
      <c r="E14" s="420"/>
      <c r="F14" s="412"/>
      <c r="G14" s="283" t="s">
        <v>33</v>
      </c>
      <c r="H14" s="283" t="s">
        <v>32</v>
      </c>
      <c r="I14" s="283" t="s">
        <v>31</v>
      </c>
      <c r="J14" s="283" t="s">
        <v>30</v>
      </c>
      <c r="K14" s="283" t="s">
        <v>29</v>
      </c>
      <c r="L14" s="284" t="s">
        <v>54</v>
      </c>
      <c r="M14" s="283" t="s">
        <v>55</v>
      </c>
      <c r="N14" s="283" t="s">
        <v>56</v>
      </c>
      <c r="O14" s="283" t="s">
        <v>57</v>
      </c>
      <c r="P14" s="420"/>
      <c r="Q14" s="420"/>
      <c r="R14" s="412"/>
      <c r="S14" s="283" t="s">
        <v>58</v>
      </c>
      <c r="T14" s="286" t="s">
        <v>112</v>
      </c>
      <c r="U14" s="420"/>
    </row>
    <row r="15" spans="2:21" s="31" customFormat="1" ht="5.0999999999999996" customHeight="1" x14ac:dyDescent="0.2">
      <c r="B15" s="30"/>
      <c r="C15" s="30"/>
      <c r="D15" s="30"/>
      <c r="E15" s="30"/>
      <c r="G15" s="30"/>
      <c r="H15" s="30"/>
      <c r="I15" s="30"/>
      <c r="J15" s="30"/>
      <c r="K15" s="30"/>
      <c r="L15" s="30"/>
      <c r="M15" s="30"/>
      <c r="R15" s="30"/>
      <c r="S15" s="32"/>
    </row>
    <row r="16" spans="2:21" s="1" customFormat="1" ht="76.5" hidden="1" customHeight="1" x14ac:dyDescent="0.25">
      <c r="B16" s="204" t="s">
        <v>0</v>
      </c>
      <c r="C16" s="204" t="s">
        <v>44</v>
      </c>
      <c r="D16" s="204" t="s">
        <v>18</v>
      </c>
      <c r="E16" s="204" t="s">
        <v>59</v>
      </c>
      <c r="F16" s="204" t="s">
        <v>45</v>
      </c>
      <c r="G16" s="195" t="s">
        <v>33</v>
      </c>
      <c r="H16" s="195" t="s">
        <v>32</v>
      </c>
      <c r="I16" s="195" t="s">
        <v>31</v>
      </c>
      <c r="J16" s="195" t="s">
        <v>30</v>
      </c>
      <c r="K16" s="195" t="s">
        <v>29</v>
      </c>
      <c r="L16" s="195" t="s">
        <v>54</v>
      </c>
      <c r="M16" s="195" t="s">
        <v>55</v>
      </c>
      <c r="N16" s="195" t="s">
        <v>204</v>
      </c>
      <c r="O16" s="195" t="s">
        <v>205</v>
      </c>
      <c r="P16" s="204" t="s">
        <v>108</v>
      </c>
      <c r="Q16" s="204" t="s">
        <v>109</v>
      </c>
      <c r="R16" s="204" t="s">
        <v>47</v>
      </c>
      <c r="S16" s="278" t="s">
        <v>206</v>
      </c>
      <c r="T16" s="195" t="s">
        <v>207</v>
      </c>
      <c r="U16" s="204" t="s">
        <v>111</v>
      </c>
    </row>
    <row r="17" spans="2:21" s="255" customFormat="1" ht="30" x14ac:dyDescent="0.25">
      <c r="B17" s="375" t="s">
        <v>305</v>
      </c>
      <c r="C17" s="364" t="s">
        <v>422</v>
      </c>
      <c r="D17" s="364" t="s">
        <v>423</v>
      </c>
      <c r="E17" s="364" t="s">
        <v>1008</v>
      </c>
      <c r="F17" s="364" t="s">
        <v>1722</v>
      </c>
      <c r="G17" s="364">
        <v>8310</v>
      </c>
      <c r="H17" s="364">
        <v>1</v>
      </c>
      <c r="I17" s="364">
        <v>7</v>
      </c>
      <c r="J17" s="364">
        <v>4</v>
      </c>
      <c r="K17" s="364">
        <v>47</v>
      </c>
      <c r="L17" s="364">
        <v>0</v>
      </c>
      <c r="M17" s="364">
        <v>129</v>
      </c>
      <c r="N17" s="364">
        <v>20190916</v>
      </c>
      <c r="O17" s="364">
        <v>20190930</v>
      </c>
      <c r="P17" s="54">
        <v>0</v>
      </c>
      <c r="Q17" s="364">
        <v>0</v>
      </c>
      <c r="R17" s="364" t="s">
        <v>315</v>
      </c>
      <c r="S17" s="375"/>
      <c r="T17" s="376" t="s">
        <v>1521</v>
      </c>
      <c r="U17" s="377" t="s">
        <v>1588</v>
      </c>
    </row>
    <row r="18" spans="2:21" ht="30" x14ac:dyDescent="0.25">
      <c r="B18" s="375" t="s">
        <v>305</v>
      </c>
      <c r="C18" s="364" t="s">
        <v>313</v>
      </c>
      <c r="D18" s="364" t="s">
        <v>314</v>
      </c>
      <c r="E18" s="364" t="s">
        <v>1020</v>
      </c>
      <c r="F18" s="364" t="s">
        <v>1355</v>
      </c>
      <c r="G18" s="364">
        <v>8310</v>
      </c>
      <c r="H18" s="364">
        <v>1</v>
      </c>
      <c r="I18" s="364">
        <v>7</v>
      </c>
      <c r="J18" s="364">
        <v>4</v>
      </c>
      <c r="K18" s="364">
        <v>82</v>
      </c>
      <c r="L18" s="364">
        <v>0</v>
      </c>
      <c r="M18" s="364">
        <v>248</v>
      </c>
      <c r="N18" s="364">
        <v>20190601</v>
      </c>
      <c r="O18" s="364">
        <v>20190831</v>
      </c>
      <c r="P18" s="364">
        <v>0</v>
      </c>
      <c r="Q18" s="364">
        <v>0</v>
      </c>
      <c r="R18" s="364" t="s">
        <v>315</v>
      </c>
      <c r="S18" s="364"/>
      <c r="T18" s="376" t="s">
        <v>852</v>
      </c>
      <c r="U18" s="377" t="s">
        <v>1356</v>
      </c>
    </row>
    <row r="19" spans="2:21" ht="30" x14ac:dyDescent="0.25">
      <c r="B19" s="375" t="s">
        <v>305</v>
      </c>
      <c r="C19" s="364" t="s">
        <v>529</v>
      </c>
      <c r="D19" s="364" t="s">
        <v>530</v>
      </c>
      <c r="E19" s="364" t="s">
        <v>1036</v>
      </c>
      <c r="F19" s="364" t="s">
        <v>1355</v>
      </c>
      <c r="G19" s="364">
        <v>8310</v>
      </c>
      <c r="H19" s="364">
        <v>1</v>
      </c>
      <c r="I19" s="364">
        <v>7</v>
      </c>
      <c r="J19" s="364">
        <v>4</v>
      </c>
      <c r="K19" s="364">
        <v>82</v>
      </c>
      <c r="L19" s="364">
        <v>0</v>
      </c>
      <c r="M19" s="364">
        <v>234</v>
      </c>
      <c r="N19" s="364">
        <v>20190916</v>
      </c>
      <c r="O19" s="364">
        <v>20200915</v>
      </c>
      <c r="P19" s="364">
        <v>0</v>
      </c>
      <c r="Q19" s="364">
        <v>0</v>
      </c>
      <c r="R19" s="364" t="s">
        <v>315</v>
      </c>
      <c r="S19" s="364"/>
      <c r="T19" s="376" t="s">
        <v>852</v>
      </c>
      <c r="U19" s="377" t="s">
        <v>1356</v>
      </c>
    </row>
    <row r="20" spans="2:21" ht="31.5" customHeight="1" x14ac:dyDescent="0.25">
      <c r="B20" s="375" t="s">
        <v>305</v>
      </c>
      <c r="C20" s="364" t="s">
        <v>549</v>
      </c>
      <c r="D20" s="364" t="s">
        <v>550</v>
      </c>
      <c r="E20" s="364" t="s">
        <v>1065</v>
      </c>
      <c r="F20" s="364" t="s">
        <v>1355</v>
      </c>
      <c r="G20" s="364">
        <v>8310</v>
      </c>
      <c r="H20" s="364">
        <v>1</v>
      </c>
      <c r="I20" s="364">
        <v>7</v>
      </c>
      <c r="J20" s="364">
        <v>4</v>
      </c>
      <c r="K20" s="364">
        <v>82</v>
      </c>
      <c r="L20" s="364">
        <v>0</v>
      </c>
      <c r="M20" s="364">
        <v>224</v>
      </c>
      <c r="N20" s="364">
        <v>20190916</v>
      </c>
      <c r="O20" s="364">
        <v>20190930</v>
      </c>
      <c r="P20" s="54">
        <v>0</v>
      </c>
      <c r="Q20" s="364">
        <v>0</v>
      </c>
      <c r="R20" s="364" t="s">
        <v>315</v>
      </c>
      <c r="S20" s="364"/>
      <c r="T20" s="376" t="s">
        <v>1521</v>
      </c>
      <c r="U20" s="377" t="s">
        <v>1588</v>
      </c>
    </row>
    <row r="21" spans="2:21" ht="30" x14ac:dyDescent="0.25">
      <c r="B21" s="375" t="s">
        <v>305</v>
      </c>
      <c r="C21" s="364" t="s">
        <v>549</v>
      </c>
      <c r="D21" s="364" t="s">
        <v>550</v>
      </c>
      <c r="E21" s="364" t="s">
        <v>1065</v>
      </c>
      <c r="F21" s="364" t="s">
        <v>1355</v>
      </c>
      <c r="G21" s="364">
        <v>8310</v>
      </c>
      <c r="H21" s="364">
        <v>1</v>
      </c>
      <c r="I21" s="364">
        <v>7</v>
      </c>
      <c r="J21" s="364">
        <v>4</v>
      </c>
      <c r="K21" s="364">
        <v>82</v>
      </c>
      <c r="L21" s="364">
        <v>0</v>
      </c>
      <c r="M21" s="364">
        <v>224</v>
      </c>
      <c r="N21" s="364">
        <v>20190901</v>
      </c>
      <c r="O21" s="364">
        <v>20190915</v>
      </c>
      <c r="P21" s="54">
        <v>0</v>
      </c>
      <c r="Q21" s="364">
        <v>0</v>
      </c>
      <c r="R21" s="364" t="s">
        <v>315</v>
      </c>
      <c r="S21" s="364"/>
      <c r="T21" s="376" t="s">
        <v>1521</v>
      </c>
      <c r="U21" s="377" t="s">
        <v>1588</v>
      </c>
    </row>
    <row r="22" spans="2:21" ht="30" x14ac:dyDescent="0.25">
      <c r="B22" s="375" t="s">
        <v>305</v>
      </c>
      <c r="C22" s="364" t="s">
        <v>549</v>
      </c>
      <c r="D22" s="364" t="s">
        <v>550</v>
      </c>
      <c r="E22" s="364" t="s">
        <v>1065</v>
      </c>
      <c r="F22" s="364" t="s">
        <v>1355</v>
      </c>
      <c r="G22" s="364">
        <v>8310</v>
      </c>
      <c r="H22" s="364">
        <v>1</v>
      </c>
      <c r="I22" s="364">
        <v>7</v>
      </c>
      <c r="J22" s="364">
        <v>4</v>
      </c>
      <c r="K22" s="364">
        <v>82</v>
      </c>
      <c r="L22" s="364">
        <v>0</v>
      </c>
      <c r="M22" s="364">
        <v>224</v>
      </c>
      <c r="N22" s="364">
        <v>20190812</v>
      </c>
      <c r="O22" s="364">
        <v>20190814</v>
      </c>
      <c r="P22" s="54">
        <v>0</v>
      </c>
      <c r="Q22" s="364">
        <v>0</v>
      </c>
      <c r="R22" s="364" t="s">
        <v>315</v>
      </c>
      <c r="S22" s="401"/>
      <c r="T22" s="376" t="s">
        <v>1521</v>
      </c>
      <c r="U22" s="377" t="s">
        <v>1588</v>
      </c>
    </row>
    <row r="23" spans="2:21" ht="30" x14ac:dyDescent="0.25">
      <c r="B23" s="375" t="s">
        <v>305</v>
      </c>
      <c r="C23" s="364" t="s">
        <v>640</v>
      </c>
      <c r="D23" s="364" t="s">
        <v>641</v>
      </c>
      <c r="E23" s="364" t="s">
        <v>1073</v>
      </c>
      <c r="F23" s="364" t="s">
        <v>1355</v>
      </c>
      <c r="G23" s="364">
        <v>8310</v>
      </c>
      <c r="H23" s="364">
        <v>1</v>
      </c>
      <c r="I23" s="364">
        <v>7</v>
      </c>
      <c r="J23" s="364">
        <v>4</v>
      </c>
      <c r="K23" s="364">
        <v>82</v>
      </c>
      <c r="L23" s="364">
        <v>0</v>
      </c>
      <c r="M23" s="364">
        <v>63</v>
      </c>
      <c r="N23" s="364">
        <v>20181010</v>
      </c>
      <c r="O23" s="364">
        <v>20211010</v>
      </c>
      <c r="P23" s="364">
        <v>0</v>
      </c>
      <c r="Q23" s="364">
        <v>0</v>
      </c>
      <c r="R23" s="364" t="s">
        <v>315</v>
      </c>
      <c r="S23" s="401"/>
      <c r="T23" s="376" t="s">
        <v>852</v>
      </c>
      <c r="U23" s="377" t="s">
        <v>1356</v>
      </c>
    </row>
    <row r="24" spans="2:21" ht="30" x14ac:dyDescent="0.25">
      <c r="B24" s="375" t="s">
        <v>305</v>
      </c>
      <c r="C24" s="364" t="s">
        <v>338</v>
      </c>
      <c r="D24" s="364" t="s">
        <v>339</v>
      </c>
      <c r="E24" s="364" t="s">
        <v>1107</v>
      </c>
      <c r="F24" s="364" t="s">
        <v>1690</v>
      </c>
      <c r="G24" s="364">
        <v>8310</v>
      </c>
      <c r="H24" s="364">
        <v>1</v>
      </c>
      <c r="I24" s="364">
        <v>7</v>
      </c>
      <c r="J24" s="364">
        <v>4</v>
      </c>
      <c r="K24" s="364">
        <v>39</v>
      </c>
      <c r="L24" s="364">
        <v>0</v>
      </c>
      <c r="M24" s="364">
        <v>309</v>
      </c>
      <c r="N24" s="364">
        <v>20190501</v>
      </c>
      <c r="O24" s="364">
        <v>20191031</v>
      </c>
      <c r="P24" s="364">
        <v>0</v>
      </c>
      <c r="Q24" s="364">
        <v>0</v>
      </c>
      <c r="R24" s="364" t="s">
        <v>315</v>
      </c>
      <c r="S24" s="401"/>
      <c r="T24" s="376" t="s">
        <v>852</v>
      </c>
      <c r="U24" s="377" t="s">
        <v>1356</v>
      </c>
    </row>
    <row r="25" spans="2:21" ht="30" x14ac:dyDescent="0.25">
      <c r="B25" s="375" t="s">
        <v>305</v>
      </c>
      <c r="C25" s="364" t="s">
        <v>848</v>
      </c>
      <c r="D25" s="364" t="s">
        <v>849</v>
      </c>
      <c r="E25" s="364" t="s">
        <v>1147</v>
      </c>
      <c r="F25" s="364" t="s">
        <v>1723</v>
      </c>
      <c r="G25" s="364">
        <v>8310</v>
      </c>
      <c r="H25" s="364">
        <v>1</v>
      </c>
      <c r="I25" s="364">
        <v>7</v>
      </c>
      <c r="J25" s="364">
        <v>4</v>
      </c>
      <c r="K25" s="364">
        <v>70</v>
      </c>
      <c r="L25" s="364">
        <v>0</v>
      </c>
      <c r="M25" s="364">
        <v>59</v>
      </c>
      <c r="N25" s="364">
        <v>20190815</v>
      </c>
      <c r="O25" s="364">
        <v>20200215</v>
      </c>
      <c r="P25" s="364">
        <v>0</v>
      </c>
      <c r="Q25" s="364">
        <v>0</v>
      </c>
      <c r="R25" s="364" t="s">
        <v>315</v>
      </c>
      <c r="S25" s="401"/>
      <c r="T25" s="376" t="s">
        <v>852</v>
      </c>
      <c r="U25" s="377" t="s">
        <v>1356</v>
      </c>
    </row>
    <row r="26" spans="2:21" ht="15" x14ac:dyDescent="0.25">
      <c r="B26" s="111" t="s">
        <v>136</v>
      </c>
      <c r="C26" s="374">
        <v>9</v>
      </c>
      <c r="D26" s="112"/>
      <c r="E26" s="112"/>
      <c r="F26" s="112"/>
      <c r="G26" s="112"/>
      <c r="H26" s="112"/>
      <c r="I26" s="112"/>
      <c r="J26" s="105"/>
      <c r="K26" s="112" t="s">
        <v>137</v>
      </c>
      <c r="L26" s="105"/>
      <c r="M26" s="240">
        <v>9</v>
      </c>
      <c r="N26" s="416" t="s">
        <v>186</v>
      </c>
      <c r="O26" s="416"/>
      <c r="P26" s="241">
        <f>SUBTOTAL(109,Tabla3[Percepciones pagadas en el Periodo de la Licencia con Presupuesto Federal*])</f>
        <v>0</v>
      </c>
      <c r="Q26" s="113"/>
      <c r="R26" s="113"/>
      <c r="S26" s="113"/>
      <c r="T26" s="113"/>
      <c r="U26" s="114"/>
    </row>
    <row r="27" spans="2:21" x14ac:dyDescent="0.2">
      <c r="B27" s="111"/>
      <c r="C27" s="112"/>
      <c r="D27" s="112"/>
      <c r="E27" s="112"/>
      <c r="F27" s="112"/>
      <c r="G27" s="112"/>
      <c r="H27" s="112"/>
      <c r="I27" s="112"/>
      <c r="J27" s="112"/>
      <c r="K27" s="112"/>
      <c r="L27" s="115"/>
      <c r="M27" s="113"/>
      <c r="N27" s="59"/>
      <c r="O27" s="113"/>
      <c r="P27" s="113"/>
      <c r="Q27" s="113"/>
      <c r="R27" s="113"/>
      <c r="S27" s="113"/>
      <c r="T27" s="113"/>
      <c r="U27" s="114"/>
    </row>
    <row r="28" spans="2:21" ht="15" x14ac:dyDescent="0.25">
      <c r="B28" s="111"/>
      <c r="C28" s="112"/>
      <c r="D28" s="112"/>
      <c r="E28" s="112"/>
      <c r="F28" s="112"/>
      <c r="G28" s="112"/>
      <c r="H28" s="112"/>
      <c r="I28" s="112"/>
      <c r="J28" s="112"/>
      <c r="K28" s="112"/>
      <c r="L28" s="115"/>
      <c r="M28" s="113"/>
      <c r="N28" s="118" t="s">
        <v>187</v>
      </c>
      <c r="O28" s="118"/>
      <c r="P28" s="241">
        <f>SUM(Q17:Q20)</f>
        <v>0</v>
      </c>
      <c r="Q28" s="299"/>
      <c r="R28" s="113"/>
      <c r="S28" s="113"/>
      <c r="T28" s="113"/>
      <c r="U28" s="114"/>
    </row>
    <row r="29" spans="2:21" x14ac:dyDescent="0.2">
      <c r="B29" s="70"/>
      <c r="C29" s="103"/>
      <c r="D29" s="71"/>
      <c r="E29" s="71"/>
      <c r="F29" s="71"/>
      <c r="G29" s="71"/>
      <c r="H29" s="71"/>
      <c r="I29" s="71"/>
      <c r="J29" s="71"/>
      <c r="K29" s="71"/>
      <c r="L29" s="71"/>
      <c r="M29" s="71"/>
      <c r="N29" s="71"/>
      <c r="O29" s="71"/>
      <c r="P29" s="71"/>
      <c r="Q29" s="71"/>
      <c r="R29" s="71"/>
      <c r="S29" s="71"/>
      <c r="T29" s="71"/>
      <c r="U29" s="72"/>
    </row>
    <row r="30" spans="2:21" x14ac:dyDescent="0.2">
      <c r="B30" s="300" t="s">
        <v>168</v>
      </c>
      <c r="C30" s="299"/>
      <c r="D30" s="299"/>
      <c r="E30" s="299"/>
      <c r="F30" s="301"/>
      <c r="G30" s="301"/>
      <c r="H30" s="301"/>
      <c r="I30" s="301"/>
      <c r="J30" s="301"/>
      <c r="K30" s="301"/>
      <c r="L30" s="301"/>
      <c r="M30" s="301"/>
      <c r="N30" s="301"/>
      <c r="O30" s="301"/>
      <c r="P30" s="301"/>
      <c r="Q30" s="301"/>
      <c r="R30" s="301"/>
      <c r="S30" s="301"/>
      <c r="T30" s="301"/>
      <c r="U30" s="301"/>
    </row>
    <row r="31" spans="2:21" x14ac:dyDescent="0.2">
      <c r="B31" s="300" t="s">
        <v>167</v>
      </c>
      <c r="C31" s="299"/>
      <c r="D31" s="299"/>
      <c r="E31" s="299"/>
      <c r="F31" s="301"/>
      <c r="G31" s="301"/>
      <c r="H31" s="301"/>
      <c r="I31" s="301"/>
      <c r="J31" s="301"/>
      <c r="K31" s="301"/>
      <c r="L31" s="301"/>
      <c r="M31" s="301"/>
      <c r="N31" s="301"/>
      <c r="O31" s="301"/>
      <c r="P31" s="301"/>
      <c r="Q31" s="301"/>
      <c r="R31" s="301"/>
      <c r="S31" s="301"/>
      <c r="T31" s="301"/>
      <c r="U31" s="301"/>
    </row>
  </sheetData>
  <mergeCells count="14">
    <mergeCell ref="B10:G10"/>
    <mergeCell ref="N26:O26"/>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40" fitToHeight="0" orientation="landscape" r:id="rId1"/>
  <headerFooter>
    <oddFooter>&amp;L&amp;G&amp;C&amp;D&amp;R&amp;P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T28"/>
  <sheetViews>
    <sheetView showGridLines="0" view="pageLayout" topLeftCell="A17" zoomScale="70" zoomScaleNormal="80" zoomScalePageLayoutView="70" workbookViewId="0">
      <selection activeCell="F79" sqref="F79"/>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9" spans="2:20" s="40" customFormat="1" ht="18.75" x14ac:dyDescent="0.3">
      <c r="B9" s="41" t="s">
        <v>163</v>
      </c>
      <c r="C9" s="42"/>
      <c r="D9" s="42"/>
      <c r="E9" s="42"/>
      <c r="F9" s="42"/>
      <c r="G9" s="42"/>
      <c r="H9" s="42"/>
      <c r="I9" s="42"/>
      <c r="J9" s="42"/>
      <c r="K9" s="42"/>
      <c r="L9" s="42"/>
      <c r="M9" s="42"/>
      <c r="N9" s="42"/>
      <c r="O9" s="42"/>
      <c r="P9" s="42"/>
      <c r="Q9" s="264" t="str">
        <f>'A Y  II D3'!W9</f>
        <v>Entidad Federativa:</v>
      </c>
      <c r="R9" s="42" t="str">
        <f>'A Y  II D3'!X9</f>
        <v>GUANAJUATO</v>
      </c>
      <c r="S9" s="43"/>
    </row>
    <row r="10" spans="2:20" s="40" customFormat="1" ht="17.100000000000001" customHeight="1" x14ac:dyDescent="0.3">
      <c r="B10" s="418" t="str">
        <f>'A Y  II D3'!B10:N10</f>
        <v>Fondo de Aportaciones para la Educación Tecnológica y de Adultos/Instituto Nacional para la Educación de los Adultos (FAETA/INEA)</v>
      </c>
      <c r="C10" s="419"/>
      <c r="D10" s="419"/>
      <c r="E10" s="419"/>
      <c r="F10" s="419"/>
      <c r="G10" s="419"/>
      <c r="H10" s="419"/>
      <c r="I10" s="419"/>
      <c r="J10" s="419"/>
      <c r="K10" s="419"/>
      <c r="L10" s="44"/>
      <c r="M10" s="44"/>
      <c r="N10" s="44"/>
      <c r="O10" s="44"/>
      <c r="P10" s="44"/>
      <c r="Q10" s="262"/>
      <c r="R10" s="44" t="str">
        <f>'A Y  II D3'!X10</f>
        <v>3er. Trimestre 2019</v>
      </c>
      <c r="S10" s="45"/>
    </row>
    <row r="11" spans="2:20" s="1" customFormat="1" ht="28.5" customHeight="1" x14ac:dyDescent="0.25">
      <c r="B11" s="37"/>
      <c r="C11" s="38"/>
      <c r="D11" s="38"/>
      <c r="E11" s="38"/>
      <c r="F11" s="38"/>
      <c r="G11" s="38"/>
      <c r="H11" s="38"/>
      <c r="I11" s="38"/>
      <c r="J11" s="38"/>
      <c r="K11" s="38"/>
      <c r="L11" s="38"/>
      <c r="M11" s="38"/>
      <c r="N11" s="38"/>
      <c r="O11" s="38"/>
      <c r="P11" s="38"/>
      <c r="Q11" s="38"/>
      <c r="R11" s="38"/>
      <c r="S11" s="58"/>
    </row>
    <row r="12" spans="2:20" ht="7.5" customHeight="1" thickBot="1" x14ac:dyDescent="0.3"/>
    <row r="13" spans="2:20" ht="15" customHeight="1" x14ac:dyDescent="0.25">
      <c r="B13" s="412" t="s">
        <v>0</v>
      </c>
      <c r="C13" s="429" t="s">
        <v>17</v>
      </c>
      <c r="D13" s="429" t="s">
        <v>18</v>
      </c>
      <c r="E13" s="429" t="s">
        <v>37</v>
      </c>
      <c r="F13" s="431" t="s">
        <v>36</v>
      </c>
      <c r="G13" s="432"/>
      <c r="H13" s="432"/>
      <c r="I13" s="432"/>
      <c r="J13" s="432"/>
      <c r="K13" s="432"/>
      <c r="L13" s="433"/>
      <c r="M13" s="426" t="s">
        <v>162</v>
      </c>
      <c r="N13" s="424" t="s">
        <v>161</v>
      </c>
      <c r="O13" s="424" t="s">
        <v>160</v>
      </c>
      <c r="P13" s="428" t="s">
        <v>159</v>
      </c>
      <c r="Q13" s="428"/>
      <c r="R13" s="424" t="s">
        <v>158</v>
      </c>
      <c r="S13" s="424" t="s">
        <v>164</v>
      </c>
    </row>
    <row r="14" spans="2:20" ht="66" customHeight="1" thickBot="1" x14ac:dyDescent="0.3">
      <c r="B14" s="412"/>
      <c r="C14" s="430"/>
      <c r="D14" s="430"/>
      <c r="E14" s="430"/>
      <c r="F14" s="283" t="s">
        <v>33</v>
      </c>
      <c r="G14" s="283" t="s">
        <v>32</v>
      </c>
      <c r="H14" s="283" t="s">
        <v>31</v>
      </c>
      <c r="I14" s="283" t="s">
        <v>30</v>
      </c>
      <c r="J14" s="283" t="s">
        <v>29</v>
      </c>
      <c r="K14" s="284" t="s">
        <v>54</v>
      </c>
      <c r="L14" s="283" t="s">
        <v>55</v>
      </c>
      <c r="M14" s="427"/>
      <c r="N14" s="425"/>
      <c r="O14" s="425"/>
      <c r="P14" s="57" t="s">
        <v>123</v>
      </c>
      <c r="Q14" s="57" t="s">
        <v>124</v>
      </c>
      <c r="R14" s="425"/>
      <c r="S14" s="425"/>
    </row>
    <row r="15" spans="2:20" ht="3.75" customHeight="1" x14ac:dyDescent="0.25"/>
    <row r="16" spans="2:20" ht="64.5" hidden="1" thickBot="1" x14ac:dyDescent="0.3">
      <c r="B16" s="205" t="s">
        <v>0</v>
      </c>
      <c r="C16" s="206" t="s">
        <v>17</v>
      </c>
      <c r="D16" s="206" t="s">
        <v>18</v>
      </c>
      <c r="E16" s="207" t="s">
        <v>37</v>
      </c>
      <c r="F16" s="57" t="s">
        <v>33</v>
      </c>
      <c r="G16" s="57" t="s">
        <v>32</v>
      </c>
      <c r="H16" s="57" t="s">
        <v>31</v>
      </c>
      <c r="I16" s="57" t="s">
        <v>30</v>
      </c>
      <c r="J16" s="57" t="s">
        <v>29</v>
      </c>
      <c r="K16" s="57" t="s">
        <v>28</v>
      </c>
      <c r="L16" s="57" t="s">
        <v>27</v>
      </c>
      <c r="M16" s="208" t="s">
        <v>162</v>
      </c>
      <c r="N16" s="208" t="s">
        <v>161</v>
      </c>
      <c r="O16" s="208" t="s">
        <v>160</v>
      </c>
      <c r="P16" s="57" t="s">
        <v>208</v>
      </c>
      <c r="Q16" s="57" t="s">
        <v>209</v>
      </c>
      <c r="R16" s="208" t="s">
        <v>158</v>
      </c>
      <c r="S16" s="208" t="s">
        <v>164</v>
      </c>
      <c r="T16" s="54"/>
    </row>
    <row r="17" spans="2:20" s="254" customFormat="1" x14ac:dyDescent="0.25">
      <c r="B17" s="336"/>
      <c r="C17" s="337"/>
      <c r="D17" s="337"/>
      <c r="E17" s="338"/>
      <c r="F17" s="339"/>
      <c r="G17" s="340"/>
      <c r="H17" s="341"/>
      <c r="I17" s="341"/>
      <c r="J17" s="342"/>
      <c r="K17" s="343"/>
      <c r="L17" s="344"/>
      <c r="M17" s="345"/>
      <c r="N17" s="345"/>
      <c r="O17" s="338"/>
      <c r="P17" s="346"/>
      <c r="Q17" s="346"/>
      <c r="R17" s="345"/>
      <c r="S17" s="347"/>
      <c r="T17" s="54"/>
    </row>
    <row r="18" spans="2:20" s="254" customFormat="1" x14ac:dyDescent="0.25">
      <c r="B18" s="336"/>
      <c r="C18" s="337"/>
      <c r="D18" s="337"/>
      <c r="E18" s="338"/>
      <c r="F18" s="339"/>
      <c r="G18" s="340"/>
      <c r="H18" s="341"/>
      <c r="I18" s="341"/>
      <c r="J18" s="342"/>
      <c r="K18" s="343"/>
      <c r="L18" s="344"/>
      <c r="M18" s="345"/>
      <c r="N18" s="345"/>
      <c r="O18" s="338"/>
      <c r="P18" s="346"/>
      <c r="Q18" s="346"/>
      <c r="R18" s="345"/>
      <c r="S18" s="347"/>
      <c r="T18" s="54"/>
    </row>
    <row r="19" spans="2:20" s="254" customFormat="1" x14ac:dyDescent="0.25">
      <c r="B19" s="336"/>
      <c r="C19" s="337"/>
      <c r="D19" s="337"/>
      <c r="E19" s="338"/>
      <c r="F19" s="339"/>
      <c r="G19" s="340"/>
      <c r="H19" s="341"/>
      <c r="I19" s="341"/>
      <c r="J19" s="342"/>
      <c r="K19" s="343"/>
      <c r="L19" s="344"/>
      <c r="M19" s="345"/>
      <c r="N19" s="345"/>
      <c r="O19" s="338"/>
      <c r="P19" s="346"/>
      <c r="Q19" s="346"/>
      <c r="R19" s="345"/>
      <c r="S19" s="347"/>
      <c r="T19" s="54"/>
    </row>
    <row r="20" spans="2:20" s="254" customFormat="1" x14ac:dyDescent="0.25">
      <c r="B20" s="336"/>
      <c r="C20" s="337"/>
      <c r="D20" s="337"/>
      <c r="E20" s="338"/>
      <c r="F20" s="339"/>
      <c r="G20" s="340"/>
      <c r="H20" s="341"/>
      <c r="I20" s="341"/>
      <c r="J20" s="342"/>
      <c r="K20" s="343"/>
      <c r="L20" s="344"/>
      <c r="M20" s="345"/>
      <c r="N20" s="345"/>
      <c r="O20" s="338"/>
      <c r="P20" s="346"/>
      <c r="Q20" s="346"/>
      <c r="R20" s="345"/>
      <c r="S20" s="347"/>
      <c r="T20" s="54"/>
    </row>
    <row r="21" spans="2:20" s="254" customFormat="1" x14ac:dyDescent="0.25">
      <c r="B21" s="296"/>
      <c r="C21" s="295"/>
      <c r="D21" s="295"/>
      <c r="E21" s="294"/>
      <c r="F21" s="302"/>
      <c r="G21" s="303"/>
      <c r="H21" s="304"/>
      <c r="I21" s="304"/>
      <c r="J21" s="305"/>
      <c r="K21" s="306"/>
      <c r="L21" s="307"/>
      <c r="M21" s="297"/>
      <c r="N21" s="297"/>
      <c r="O21" s="294"/>
      <c r="P21" s="298"/>
      <c r="Q21" s="298"/>
      <c r="R21" s="297"/>
      <c r="S21" s="308"/>
      <c r="T21" s="54"/>
    </row>
    <row r="22" spans="2:20" x14ac:dyDescent="0.25">
      <c r="B22" s="130" t="s">
        <v>136</v>
      </c>
      <c r="C22" s="269"/>
      <c r="D22" s="16"/>
      <c r="E22" s="131"/>
      <c r="F22" s="131"/>
      <c r="G22" s="132"/>
      <c r="H22" s="133"/>
      <c r="I22" s="133"/>
      <c r="K22" s="256" t="s">
        <v>137</v>
      </c>
      <c r="L22" s="269"/>
      <c r="M22" s="132"/>
      <c r="N22" s="132"/>
      <c r="O22" s="16"/>
      <c r="P22" s="134" t="s">
        <v>188</v>
      </c>
      <c r="Q22" s="131"/>
      <c r="R22" s="104"/>
      <c r="S22" s="242"/>
    </row>
    <row r="23" spans="2:20" x14ac:dyDescent="0.25">
      <c r="B23" s="110"/>
      <c r="C23" s="55"/>
      <c r="D23" s="55"/>
      <c r="E23" s="55"/>
      <c r="F23" s="119"/>
      <c r="G23" s="120"/>
      <c r="H23" s="119"/>
      <c r="I23" s="119"/>
      <c r="J23" s="119"/>
      <c r="K23" s="121"/>
      <c r="L23" s="120"/>
      <c r="M23" s="120"/>
      <c r="N23" s="120"/>
      <c r="O23" s="120"/>
      <c r="P23" s="55"/>
      <c r="Q23" s="55"/>
      <c r="R23" s="55"/>
      <c r="S23" s="109"/>
    </row>
    <row r="24" spans="2:20" x14ac:dyDescent="0.25">
      <c r="B24" s="110"/>
      <c r="C24" s="55"/>
      <c r="D24" s="55"/>
      <c r="E24" s="55"/>
      <c r="F24" s="119"/>
      <c r="G24" s="120"/>
      <c r="H24" s="119"/>
      <c r="I24" s="119"/>
      <c r="J24" s="119"/>
      <c r="K24" s="121"/>
      <c r="L24" s="120"/>
      <c r="M24" s="120"/>
      <c r="N24" s="120"/>
      <c r="O24" s="120"/>
      <c r="P24" s="55"/>
      <c r="Q24" s="55"/>
      <c r="R24" s="55"/>
      <c r="S24" s="109"/>
    </row>
    <row r="25" spans="2:20" x14ac:dyDescent="0.25">
      <c r="B25" s="122"/>
      <c r="C25" s="123"/>
      <c r="D25" s="124"/>
      <c r="E25" s="236"/>
      <c r="F25" s="125"/>
      <c r="G25" s="126"/>
      <c r="H25" s="127"/>
      <c r="I25" s="127"/>
      <c r="J25" s="123"/>
      <c r="K25" s="128"/>
      <c r="L25" s="126"/>
      <c r="M25" s="126"/>
      <c r="N25" s="126"/>
      <c r="O25" s="126"/>
      <c r="P25" s="125"/>
      <c r="Q25" s="125"/>
      <c r="R25" s="123"/>
      <c r="S25" s="129"/>
    </row>
    <row r="26" spans="2:20" x14ac:dyDescent="0.25">
      <c r="B26" s="47" t="s">
        <v>298</v>
      </c>
      <c r="C26" s="25"/>
      <c r="D26" s="25"/>
      <c r="E26" s="25"/>
      <c r="F26" s="55"/>
      <c r="G26" s="55"/>
      <c r="H26" s="55"/>
      <c r="I26" s="55"/>
      <c r="J26" s="55"/>
      <c r="K26" s="55"/>
      <c r="L26" s="55"/>
      <c r="M26" s="55"/>
      <c r="N26" s="55"/>
      <c r="O26" s="55"/>
      <c r="P26" s="55"/>
      <c r="Q26" s="55"/>
      <c r="R26" s="55"/>
      <c r="S26" s="55"/>
    </row>
    <row r="27" spans="2:20" x14ac:dyDescent="0.25">
      <c r="B27" s="47" t="s">
        <v>259</v>
      </c>
      <c r="C27" s="76"/>
      <c r="D27" s="56"/>
      <c r="E27" s="224"/>
    </row>
    <row r="28" spans="2:20" x14ac:dyDescent="0.25">
      <c r="B28" s="76"/>
      <c r="E28" s="234"/>
    </row>
  </sheetData>
  <mergeCells count="12">
    <mergeCell ref="B10:K10"/>
    <mergeCell ref="B13:B14"/>
    <mergeCell ref="C13:C14"/>
    <mergeCell ref="D13:D14"/>
    <mergeCell ref="E13:E14"/>
    <mergeCell ref="F13:L13"/>
    <mergeCell ref="S13:S14"/>
    <mergeCell ref="M13:M14"/>
    <mergeCell ref="N13:N14"/>
    <mergeCell ref="O13:O14"/>
    <mergeCell ref="P13:Q13"/>
    <mergeCell ref="R13:R14"/>
  </mergeCells>
  <dataValidations disablePrompts="1" count="1">
    <dataValidation allowBlank="1" showInputMessage="1" showErrorMessage="1" sqref="Q10 B10:K10"/>
  </dataValidations>
  <printOptions horizontalCentered="1"/>
  <pageMargins left="0.23622047244094491" right="0.23622047244094491" top="0.15748031496062992" bottom="1.2598425196850394" header="0" footer="0"/>
  <pageSetup paperSize="14" scale="51" fitToHeight="0" orientation="landscape" r:id="rId1"/>
  <headerFooter>
    <oddFooter>&amp;L&amp;G&amp;C&amp;D&amp;R&amp;P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AA359"/>
  <sheetViews>
    <sheetView showGridLines="0" view="pageLayout" topLeftCell="A309" zoomScaleNormal="80" workbookViewId="0">
      <selection activeCell="F79" sqref="F79"/>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40" customFormat="1" ht="18.75" x14ac:dyDescent="0.3">
      <c r="B9" s="230" t="s">
        <v>140</v>
      </c>
      <c r="C9" s="231"/>
      <c r="D9" s="231"/>
      <c r="E9" s="231"/>
      <c r="F9" s="231"/>
      <c r="G9" s="231"/>
      <c r="H9" s="231"/>
      <c r="I9" s="42"/>
      <c r="J9" s="42"/>
      <c r="K9" s="42"/>
      <c r="L9" s="42"/>
      <c r="M9" s="42"/>
      <c r="N9" s="42"/>
      <c r="O9" s="42"/>
      <c r="P9" s="42"/>
      <c r="Q9" s="42"/>
      <c r="R9" s="42"/>
      <c r="S9" s="42"/>
      <c r="T9" s="42"/>
      <c r="U9" s="42"/>
      <c r="V9" s="42"/>
      <c r="W9" s="42"/>
      <c r="X9" s="264" t="str">
        <f>'A Y  II D3'!W9</f>
        <v>Entidad Federativa:</v>
      </c>
      <c r="Y9" s="43" t="str">
        <f>'A Y  II D3'!X9</f>
        <v>GUANAJUATO</v>
      </c>
    </row>
    <row r="10" spans="2:25" s="40" customFormat="1" ht="17.100000000000001" customHeight="1" x14ac:dyDescent="0.3">
      <c r="B10" s="418" t="str">
        <f>'A Y  II D3'!B10:N10</f>
        <v>Fondo de Aportaciones para la Educación Tecnológica y de Adultos/Instituto Nacional para la Educación de los Adultos (FAETA/INEA)</v>
      </c>
      <c r="C10" s="419"/>
      <c r="D10" s="419"/>
      <c r="E10" s="419"/>
      <c r="F10" s="419"/>
      <c r="G10" s="419"/>
      <c r="H10" s="419"/>
      <c r="I10" s="419"/>
      <c r="J10" s="419"/>
      <c r="K10" s="44"/>
      <c r="L10" s="44"/>
      <c r="M10" s="44"/>
      <c r="N10" s="44"/>
      <c r="O10" s="44"/>
      <c r="P10" s="44"/>
      <c r="Q10" s="44"/>
      <c r="R10" s="44"/>
      <c r="S10" s="44"/>
      <c r="T10" s="44"/>
      <c r="U10" s="44"/>
      <c r="V10" s="44"/>
      <c r="W10" s="262"/>
      <c r="X10" s="44" t="str">
        <f>'A Y  II D3'!X10</f>
        <v>3er. Trimestre 2019</v>
      </c>
      <c r="Y10" s="45"/>
    </row>
    <row r="11" spans="2:25" ht="28.5" customHeight="1" x14ac:dyDescent="0.25">
      <c r="B11" s="232"/>
      <c r="C11" s="233"/>
      <c r="D11" s="233"/>
      <c r="E11" s="233"/>
      <c r="F11" s="233"/>
      <c r="G11" s="38"/>
      <c r="H11" s="38"/>
      <c r="I11" s="38"/>
      <c r="J11" s="38"/>
      <c r="K11" s="38"/>
      <c r="L11" s="38"/>
      <c r="M11" s="38"/>
      <c r="N11" s="38"/>
      <c r="O11" s="38"/>
      <c r="P11" s="38"/>
      <c r="Q11" s="38"/>
      <c r="R11" s="38"/>
      <c r="S11" s="38"/>
      <c r="T11" s="38"/>
      <c r="U11" s="38"/>
      <c r="V11" s="38"/>
      <c r="W11" s="38"/>
      <c r="X11" s="38"/>
      <c r="Y11" s="39"/>
    </row>
    <row r="12" spans="2:25" ht="6.95" customHeight="1" x14ac:dyDescent="0.35">
      <c r="G12" s="9"/>
      <c r="H12" s="9"/>
      <c r="I12" s="9"/>
      <c r="J12" s="9"/>
      <c r="K12" s="9"/>
      <c r="L12" s="9"/>
      <c r="M12" s="9"/>
      <c r="N12" s="5"/>
      <c r="O12" s="5"/>
      <c r="Y12" s="1"/>
    </row>
    <row r="13" spans="2:25" ht="22.5" customHeight="1" x14ac:dyDescent="0.25">
      <c r="B13" s="436" t="s">
        <v>0</v>
      </c>
      <c r="C13" s="434" t="s">
        <v>17</v>
      </c>
      <c r="D13" s="434" t="s">
        <v>18</v>
      </c>
      <c r="E13" s="434" t="s">
        <v>37</v>
      </c>
      <c r="F13" s="436" t="s">
        <v>165</v>
      </c>
      <c r="G13" s="421" t="s">
        <v>1</v>
      </c>
      <c r="H13" s="421"/>
      <c r="I13" s="421"/>
      <c r="J13" s="421"/>
      <c r="K13" s="421"/>
      <c r="L13" s="421"/>
      <c r="M13" s="421"/>
      <c r="N13" s="421"/>
      <c r="O13" s="421"/>
      <c r="P13" s="421"/>
      <c r="Q13" s="421"/>
      <c r="R13" s="421"/>
      <c r="S13" s="421"/>
      <c r="T13" s="421"/>
      <c r="U13" s="421"/>
      <c r="V13" s="420" t="s">
        <v>2</v>
      </c>
      <c r="W13" s="420" t="s">
        <v>3</v>
      </c>
      <c r="X13" s="420" t="s">
        <v>4</v>
      </c>
      <c r="Y13" s="420" t="s">
        <v>139</v>
      </c>
    </row>
    <row r="14" spans="2:25" s="2" customFormat="1" ht="22.5" customHeight="1" x14ac:dyDescent="0.25">
      <c r="B14" s="437"/>
      <c r="C14" s="434"/>
      <c r="D14" s="434"/>
      <c r="E14" s="434"/>
      <c r="F14" s="437"/>
      <c r="G14" s="420" t="s">
        <v>5</v>
      </c>
      <c r="H14" s="420"/>
      <c r="I14" s="420"/>
      <c r="J14" s="420" t="s">
        <v>6</v>
      </c>
      <c r="K14" s="420"/>
      <c r="L14" s="420"/>
      <c r="M14" s="420" t="s">
        <v>7</v>
      </c>
      <c r="N14" s="420"/>
      <c r="O14" s="420"/>
      <c r="P14" s="420" t="s">
        <v>8</v>
      </c>
      <c r="Q14" s="420"/>
      <c r="R14" s="420"/>
      <c r="S14" s="420" t="s">
        <v>9</v>
      </c>
      <c r="T14" s="420"/>
      <c r="U14" s="420"/>
      <c r="V14" s="420"/>
      <c r="W14" s="420"/>
      <c r="X14" s="420"/>
      <c r="Y14" s="420"/>
    </row>
    <row r="15" spans="2:25" s="2" customFormat="1" ht="29.25" customHeight="1" x14ac:dyDescent="0.25">
      <c r="B15" s="438"/>
      <c r="C15" s="434"/>
      <c r="D15" s="434"/>
      <c r="E15" s="434"/>
      <c r="F15" s="438"/>
      <c r="G15" s="285" t="s">
        <v>10</v>
      </c>
      <c r="H15" s="285" t="s">
        <v>11</v>
      </c>
      <c r="I15" s="285" t="s">
        <v>12</v>
      </c>
      <c r="J15" s="285" t="s">
        <v>10</v>
      </c>
      <c r="K15" s="285" t="s">
        <v>11</v>
      </c>
      <c r="L15" s="285" t="s">
        <v>12</v>
      </c>
      <c r="M15" s="285" t="s">
        <v>10</v>
      </c>
      <c r="N15" s="285" t="s">
        <v>11</v>
      </c>
      <c r="O15" s="285" t="s">
        <v>12</v>
      </c>
      <c r="P15" s="285" t="s">
        <v>10</v>
      </c>
      <c r="Q15" s="285" t="s">
        <v>11</v>
      </c>
      <c r="R15" s="285" t="s">
        <v>12</v>
      </c>
      <c r="S15" s="285" t="s">
        <v>10</v>
      </c>
      <c r="T15" s="285" t="s">
        <v>11</v>
      </c>
      <c r="U15" s="285" t="s">
        <v>12</v>
      </c>
      <c r="V15" s="420"/>
      <c r="W15" s="420"/>
      <c r="X15" s="420"/>
      <c r="Y15" s="420"/>
    </row>
    <row r="16" spans="2:25" s="2" customFormat="1" ht="4.5" customHeight="1" x14ac:dyDescent="0.25">
      <c r="G16" s="6"/>
      <c r="H16" s="6"/>
      <c r="I16" s="6"/>
      <c r="J16" s="6"/>
      <c r="K16" s="6"/>
      <c r="L16" s="6"/>
      <c r="M16" s="6"/>
      <c r="N16" s="6"/>
      <c r="O16" s="6"/>
      <c r="P16" s="6"/>
      <c r="Q16" s="6"/>
      <c r="R16" s="6"/>
      <c r="S16" s="6"/>
      <c r="T16" s="6"/>
      <c r="U16" s="6"/>
      <c r="V16" s="1"/>
      <c r="W16" s="1"/>
      <c r="X16" s="1"/>
    </row>
    <row r="17" spans="2:27" s="51" customFormat="1" ht="76.5" hidden="1" customHeight="1" x14ac:dyDescent="0.2">
      <c r="B17" s="209" t="s">
        <v>0</v>
      </c>
      <c r="C17" s="210" t="s">
        <v>17</v>
      </c>
      <c r="D17" s="210" t="s">
        <v>18</v>
      </c>
      <c r="E17" s="210" t="s">
        <v>37</v>
      </c>
      <c r="F17" s="209" t="s">
        <v>165</v>
      </c>
      <c r="G17" s="195" t="s">
        <v>10</v>
      </c>
      <c r="H17" s="195" t="s">
        <v>11</v>
      </c>
      <c r="I17" s="195" t="s">
        <v>12</v>
      </c>
      <c r="J17" s="195" t="s">
        <v>210</v>
      </c>
      <c r="K17" s="195" t="s">
        <v>211</v>
      </c>
      <c r="L17" s="195" t="s">
        <v>212</v>
      </c>
      <c r="M17" s="195" t="s">
        <v>213</v>
      </c>
      <c r="N17" s="195" t="s">
        <v>214</v>
      </c>
      <c r="O17" s="195" t="s">
        <v>215</v>
      </c>
      <c r="P17" s="195" t="s">
        <v>216</v>
      </c>
      <c r="Q17" s="195" t="s">
        <v>217</v>
      </c>
      <c r="R17" s="195" t="s">
        <v>218</v>
      </c>
      <c r="S17" s="195" t="s">
        <v>219</v>
      </c>
      <c r="T17" s="195" t="s">
        <v>220</v>
      </c>
      <c r="U17" s="195" t="s">
        <v>221</v>
      </c>
      <c r="V17" s="204" t="s">
        <v>2</v>
      </c>
      <c r="W17" s="204" t="s">
        <v>3</v>
      </c>
      <c r="X17" s="204" t="s">
        <v>4</v>
      </c>
      <c r="Y17" s="204" t="s">
        <v>139</v>
      </c>
    </row>
    <row r="18" spans="2:27" x14ac:dyDescent="0.25">
      <c r="B18" s="364" t="s">
        <v>914</v>
      </c>
      <c r="C18" s="364" t="s">
        <v>452</v>
      </c>
      <c r="D18" s="364" t="s">
        <v>453</v>
      </c>
      <c r="E18" s="364" t="s">
        <v>956</v>
      </c>
      <c r="F18" s="364">
        <v>1</v>
      </c>
      <c r="G18" s="364">
        <v>0</v>
      </c>
      <c r="H18" s="364">
        <v>0</v>
      </c>
      <c r="I18" s="364">
        <v>0</v>
      </c>
      <c r="J18" s="364">
        <v>0</v>
      </c>
      <c r="K18" s="364">
        <v>0</v>
      </c>
      <c r="L18" s="364">
        <v>0</v>
      </c>
      <c r="M18" s="364">
        <v>7</v>
      </c>
      <c r="N18" s="364">
        <v>35</v>
      </c>
      <c r="O18" s="364">
        <v>0</v>
      </c>
      <c r="P18" s="364">
        <v>0</v>
      </c>
      <c r="Q18" s="364">
        <v>0</v>
      </c>
      <c r="R18" s="364">
        <v>0</v>
      </c>
      <c r="S18" s="364">
        <v>0</v>
      </c>
      <c r="T18" s="364">
        <v>0</v>
      </c>
      <c r="U18" s="364">
        <v>0</v>
      </c>
      <c r="V18" s="364">
        <v>1</v>
      </c>
      <c r="W18" s="364">
        <v>35</v>
      </c>
      <c r="X18" s="364">
        <v>0</v>
      </c>
      <c r="Y18" s="364">
        <v>60450.15</v>
      </c>
      <c r="Z18" s="364"/>
      <c r="AA18" s="364"/>
    </row>
    <row r="19" spans="2:27" x14ac:dyDescent="0.25">
      <c r="B19" s="364" t="s">
        <v>914</v>
      </c>
      <c r="C19" s="364" t="s">
        <v>555</v>
      </c>
      <c r="D19" s="364" t="s">
        <v>556</v>
      </c>
      <c r="E19" s="364" t="s">
        <v>957</v>
      </c>
      <c r="F19" s="364">
        <v>1</v>
      </c>
      <c r="G19" s="364">
        <v>0</v>
      </c>
      <c r="H19" s="364">
        <v>0</v>
      </c>
      <c r="I19" s="364">
        <v>0</v>
      </c>
      <c r="J19" s="364">
        <v>0</v>
      </c>
      <c r="K19" s="364">
        <v>0</v>
      </c>
      <c r="L19" s="364">
        <v>0</v>
      </c>
      <c r="M19" s="364">
        <v>7</v>
      </c>
      <c r="N19" s="364">
        <v>35</v>
      </c>
      <c r="O19" s="364">
        <v>0</v>
      </c>
      <c r="P19" s="364">
        <v>0</v>
      </c>
      <c r="Q19" s="364">
        <v>0</v>
      </c>
      <c r="R19" s="364">
        <v>0</v>
      </c>
      <c r="S19" s="364">
        <v>0</v>
      </c>
      <c r="T19" s="364">
        <v>0</v>
      </c>
      <c r="U19" s="364">
        <v>0</v>
      </c>
      <c r="V19" s="364">
        <v>1</v>
      </c>
      <c r="W19" s="364">
        <v>35</v>
      </c>
      <c r="X19" s="364">
        <v>0</v>
      </c>
      <c r="Y19" s="364">
        <v>48873.1</v>
      </c>
      <c r="Z19" s="364"/>
      <c r="AA19" s="364"/>
    </row>
    <row r="20" spans="2:27" x14ac:dyDescent="0.25">
      <c r="B20" s="364" t="s">
        <v>914</v>
      </c>
      <c r="C20" s="364" t="s">
        <v>551</v>
      </c>
      <c r="D20" s="364" t="s">
        <v>552</v>
      </c>
      <c r="E20" s="364" t="s">
        <v>958</v>
      </c>
      <c r="F20" s="364">
        <v>1</v>
      </c>
      <c r="G20" s="364">
        <v>0</v>
      </c>
      <c r="H20" s="364">
        <v>0</v>
      </c>
      <c r="I20" s="364">
        <v>0</v>
      </c>
      <c r="J20" s="364">
        <v>0</v>
      </c>
      <c r="K20" s="364">
        <v>0</v>
      </c>
      <c r="L20" s="364">
        <v>0</v>
      </c>
      <c r="M20" s="364">
        <v>7</v>
      </c>
      <c r="N20" s="364">
        <v>35</v>
      </c>
      <c r="O20" s="364">
        <v>0</v>
      </c>
      <c r="P20" s="364">
        <v>0</v>
      </c>
      <c r="Q20" s="364">
        <v>0</v>
      </c>
      <c r="R20" s="364">
        <v>0</v>
      </c>
      <c r="S20" s="364">
        <v>0</v>
      </c>
      <c r="T20" s="364">
        <v>0</v>
      </c>
      <c r="U20" s="364">
        <v>0</v>
      </c>
      <c r="V20" s="364">
        <v>1</v>
      </c>
      <c r="W20" s="364">
        <v>35</v>
      </c>
      <c r="X20" s="364">
        <v>0</v>
      </c>
      <c r="Y20" s="364">
        <v>48673.1</v>
      </c>
      <c r="Z20" s="364"/>
      <c r="AA20" s="364"/>
    </row>
    <row r="21" spans="2:27" x14ac:dyDescent="0.25">
      <c r="B21" s="364" t="s">
        <v>914</v>
      </c>
      <c r="C21" s="364" t="s">
        <v>543</v>
      </c>
      <c r="D21" s="364" t="s">
        <v>544</v>
      </c>
      <c r="E21" s="364" t="s">
        <v>1374</v>
      </c>
      <c r="F21" s="364">
        <v>1</v>
      </c>
      <c r="G21" s="364">
        <v>0</v>
      </c>
      <c r="H21" s="364">
        <v>0</v>
      </c>
      <c r="I21" s="364">
        <v>0</v>
      </c>
      <c r="J21" s="364">
        <v>0</v>
      </c>
      <c r="K21" s="364">
        <v>0</v>
      </c>
      <c r="L21" s="364">
        <v>0</v>
      </c>
      <c r="M21" s="364">
        <v>7</v>
      </c>
      <c r="N21" s="364">
        <v>35</v>
      </c>
      <c r="O21" s="364">
        <v>0</v>
      </c>
      <c r="P21" s="364">
        <v>0</v>
      </c>
      <c r="Q21" s="364">
        <v>0</v>
      </c>
      <c r="R21" s="364">
        <v>0</v>
      </c>
      <c r="S21" s="364">
        <v>0</v>
      </c>
      <c r="T21" s="364">
        <v>0</v>
      </c>
      <c r="U21" s="364">
        <v>0</v>
      </c>
      <c r="V21" s="364">
        <v>1</v>
      </c>
      <c r="W21" s="364">
        <v>35</v>
      </c>
      <c r="X21" s="364">
        <v>0</v>
      </c>
      <c r="Y21" s="364">
        <v>48673.1</v>
      </c>
      <c r="Z21" s="364"/>
      <c r="AA21" s="364"/>
    </row>
    <row r="22" spans="2:27" x14ac:dyDescent="0.25">
      <c r="B22" s="364" t="s">
        <v>914</v>
      </c>
      <c r="C22" s="364" t="s">
        <v>728</v>
      </c>
      <c r="D22" s="364" t="s">
        <v>729</v>
      </c>
      <c r="E22" s="364" t="s">
        <v>959</v>
      </c>
      <c r="F22" s="364">
        <v>1</v>
      </c>
      <c r="G22" s="364">
        <v>0</v>
      </c>
      <c r="H22" s="364">
        <v>0</v>
      </c>
      <c r="I22" s="364">
        <v>0</v>
      </c>
      <c r="J22" s="364">
        <v>0</v>
      </c>
      <c r="K22" s="364">
        <v>0</v>
      </c>
      <c r="L22" s="364">
        <v>0</v>
      </c>
      <c r="M22" s="364">
        <v>7</v>
      </c>
      <c r="N22" s="364">
        <v>35</v>
      </c>
      <c r="O22" s="364">
        <v>0</v>
      </c>
      <c r="P22" s="364">
        <v>0</v>
      </c>
      <c r="Q22" s="364">
        <v>0</v>
      </c>
      <c r="R22" s="364">
        <v>0</v>
      </c>
      <c r="S22" s="364">
        <v>0</v>
      </c>
      <c r="T22" s="364">
        <v>0</v>
      </c>
      <c r="U22" s="364">
        <v>0</v>
      </c>
      <c r="V22" s="364">
        <v>1</v>
      </c>
      <c r="W22" s="364">
        <v>35</v>
      </c>
      <c r="X22" s="364">
        <v>0</v>
      </c>
      <c r="Y22" s="364">
        <v>52169.1</v>
      </c>
      <c r="Z22" s="364"/>
      <c r="AA22" s="364"/>
    </row>
    <row r="23" spans="2:27" x14ac:dyDescent="0.25">
      <c r="B23" s="364" t="s">
        <v>914</v>
      </c>
      <c r="C23" s="364" t="s">
        <v>382</v>
      </c>
      <c r="D23" s="364" t="s">
        <v>383</v>
      </c>
      <c r="E23" s="364" t="s">
        <v>960</v>
      </c>
      <c r="F23" s="364">
        <v>1</v>
      </c>
      <c r="G23" s="364">
        <v>0</v>
      </c>
      <c r="H23" s="364">
        <v>0</v>
      </c>
      <c r="I23" s="364">
        <v>0</v>
      </c>
      <c r="J23" s="364">
        <v>0</v>
      </c>
      <c r="K23" s="364">
        <v>0</v>
      </c>
      <c r="L23" s="364">
        <v>0</v>
      </c>
      <c r="M23" s="364">
        <v>7</v>
      </c>
      <c r="N23" s="364">
        <v>35</v>
      </c>
      <c r="O23" s="364">
        <v>0</v>
      </c>
      <c r="P23" s="364">
        <v>0</v>
      </c>
      <c r="Q23" s="364">
        <v>0</v>
      </c>
      <c r="R23" s="364">
        <v>0</v>
      </c>
      <c r="S23" s="364">
        <v>0</v>
      </c>
      <c r="T23" s="364">
        <v>0</v>
      </c>
      <c r="U23" s="364">
        <v>0</v>
      </c>
      <c r="V23" s="364">
        <v>1</v>
      </c>
      <c r="W23" s="364">
        <v>35</v>
      </c>
      <c r="X23" s="364">
        <v>0</v>
      </c>
      <c r="Y23" s="364">
        <v>41711.22</v>
      </c>
      <c r="Z23" s="364"/>
      <c r="AA23" s="364"/>
    </row>
    <row r="24" spans="2:27" x14ac:dyDescent="0.25">
      <c r="B24" s="364" t="s">
        <v>914</v>
      </c>
      <c r="C24" s="364" t="s">
        <v>514</v>
      </c>
      <c r="D24" s="364" t="s">
        <v>1403</v>
      </c>
      <c r="E24" s="364" t="s">
        <v>961</v>
      </c>
      <c r="F24" s="364">
        <v>1</v>
      </c>
      <c r="G24" s="364">
        <v>0</v>
      </c>
      <c r="H24" s="364">
        <v>0</v>
      </c>
      <c r="I24" s="364">
        <v>0</v>
      </c>
      <c r="J24" s="364">
        <v>0</v>
      </c>
      <c r="K24" s="364">
        <v>0</v>
      </c>
      <c r="L24" s="364">
        <v>0</v>
      </c>
      <c r="M24" s="364">
        <v>7</v>
      </c>
      <c r="N24" s="364">
        <v>35</v>
      </c>
      <c r="O24" s="364">
        <v>0</v>
      </c>
      <c r="P24" s="364">
        <v>0</v>
      </c>
      <c r="Q24" s="364">
        <v>0</v>
      </c>
      <c r="R24" s="364">
        <v>0</v>
      </c>
      <c r="S24" s="364">
        <v>0</v>
      </c>
      <c r="T24" s="364">
        <v>0</v>
      </c>
      <c r="U24" s="364">
        <v>0</v>
      </c>
      <c r="V24" s="364">
        <v>1</v>
      </c>
      <c r="W24" s="364">
        <v>35</v>
      </c>
      <c r="X24" s="364">
        <v>0</v>
      </c>
      <c r="Y24" s="364">
        <v>48673.1</v>
      </c>
      <c r="Z24" s="364"/>
      <c r="AA24" s="364"/>
    </row>
    <row r="25" spans="2:27" x14ac:dyDescent="0.25">
      <c r="B25" s="364" t="s">
        <v>914</v>
      </c>
      <c r="C25" s="364" t="s">
        <v>374</v>
      </c>
      <c r="D25" s="364" t="s">
        <v>375</v>
      </c>
      <c r="E25" s="364" t="s">
        <v>1376</v>
      </c>
      <c r="F25" s="364">
        <v>1</v>
      </c>
      <c r="G25" s="364">
        <v>0</v>
      </c>
      <c r="H25" s="364">
        <v>0</v>
      </c>
      <c r="I25" s="364">
        <v>0</v>
      </c>
      <c r="J25" s="364">
        <v>0</v>
      </c>
      <c r="K25" s="364">
        <v>0</v>
      </c>
      <c r="L25" s="364">
        <v>0</v>
      </c>
      <c r="M25" s="364">
        <v>7</v>
      </c>
      <c r="N25" s="364">
        <v>35</v>
      </c>
      <c r="O25" s="364">
        <v>0</v>
      </c>
      <c r="P25" s="364">
        <v>0</v>
      </c>
      <c r="Q25" s="364">
        <v>0</v>
      </c>
      <c r="R25" s="364">
        <v>0</v>
      </c>
      <c r="S25" s="364">
        <v>0</v>
      </c>
      <c r="T25" s="364">
        <v>0</v>
      </c>
      <c r="U25" s="364">
        <v>0</v>
      </c>
      <c r="V25" s="364">
        <v>1</v>
      </c>
      <c r="W25" s="364">
        <v>35</v>
      </c>
      <c r="X25" s="364">
        <v>0</v>
      </c>
      <c r="Y25" s="364">
        <v>39576.46</v>
      </c>
      <c r="Z25" s="364"/>
      <c r="AA25" s="364"/>
    </row>
    <row r="26" spans="2:27" x14ac:dyDescent="0.25">
      <c r="B26" s="364" t="s">
        <v>914</v>
      </c>
      <c r="C26" s="364" t="s">
        <v>492</v>
      </c>
      <c r="D26" s="364" t="s">
        <v>493</v>
      </c>
      <c r="E26" s="364" t="s">
        <v>962</v>
      </c>
      <c r="F26" s="364">
        <v>1</v>
      </c>
      <c r="G26" s="364">
        <v>0</v>
      </c>
      <c r="H26" s="364">
        <v>0</v>
      </c>
      <c r="I26" s="364">
        <v>0</v>
      </c>
      <c r="J26" s="364">
        <v>0</v>
      </c>
      <c r="K26" s="364">
        <v>0</v>
      </c>
      <c r="L26" s="364">
        <v>0</v>
      </c>
      <c r="M26" s="364">
        <v>7</v>
      </c>
      <c r="N26" s="364">
        <v>35</v>
      </c>
      <c r="O26" s="364">
        <v>0</v>
      </c>
      <c r="P26" s="364">
        <v>0</v>
      </c>
      <c r="Q26" s="364">
        <v>0</v>
      </c>
      <c r="R26" s="364">
        <v>0</v>
      </c>
      <c r="S26" s="364">
        <v>0</v>
      </c>
      <c r="T26" s="364">
        <v>0</v>
      </c>
      <c r="U26" s="364">
        <v>0</v>
      </c>
      <c r="V26" s="364">
        <v>1</v>
      </c>
      <c r="W26" s="364">
        <v>35</v>
      </c>
      <c r="X26" s="364">
        <v>0</v>
      </c>
      <c r="Y26" s="364">
        <v>48636.63</v>
      </c>
      <c r="Z26" s="364"/>
      <c r="AA26" s="364"/>
    </row>
    <row r="27" spans="2:27" x14ac:dyDescent="0.25">
      <c r="B27" s="364" t="s">
        <v>914</v>
      </c>
      <c r="C27" s="364" t="s">
        <v>490</v>
      </c>
      <c r="D27" s="364" t="s">
        <v>491</v>
      </c>
      <c r="E27" s="364" t="s">
        <v>963</v>
      </c>
      <c r="F27" s="364">
        <v>1</v>
      </c>
      <c r="G27" s="364">
        <v>0</v>
      </c>
      <c r="H27" s="364">
        <v>0</v>
      </c>
      <c r="I27" s="364">
        <v>0</v>
      </c>
      <c r="J27" s="364">
        <v>0</v>
      </c>
      <c r="K27" s="364">
        <v>0</v>
      </c>
      <c r="L27" s="364">
        <v>0</v>
      </c>
      <c r="M27" s="364">
        <v>7</v>
      </c>
      <c r="N27" s="364">
        <v>35</v>
      </c>
      <c r="O27" s="364">
        <v>0</v>
      </c>
      <c r="P27" s="364">
        <v>0</v>
      </c>
      <c r="Q27" s="364">
        <v>0</v>
      </c>
      <c r="R27" s="364">
        <v>0</v>
      </c>
      <c r="S27" s="364">
        <v>0</v>
      </c>
      <c r="T27" s="364">
        <v>0</v>
      </c>
      <c r="U27" s="364">
        <v>0</v>
      </c>
      <c r="V27" s="364">
        <v>1</v>
      </c>
      <c r="W27" s="364">
        <v>35</v>
      </c>
      <c r="X27" s="364">
        <v>0</v>
      </c>
      <c r="Y27" s="364">
        <v>48654.28</v>
      </c>
      <c r="Z27" s="364"/>
      <c r="AA27" s="364"/>
    </row>
    <row r="28" spans="2:27" x14ac:dyDescent="0.25">
      <c r="B28" s="364" t="s">
        <v>914</v>
      </c>
      <c r="C28" s="364" t="s">
        <v>706</v>
      </c>
      <c r="D28" s="364" t="s">
        <v>1691</v>
      </c>
      <c r="E28" s="364" t="s">
        <v>964</v>
      </c>
      <c r="F28" s="364">
        <v>1</v>
      </c>
      <c r="G28" s="364">
        <v>0</v>
      </c>
      <c r="H28" s="364">
        <v>0</v>
      </c>
      <c r="I28" s="364">
        <v>0</v>
      </c>
      <c r="J28" s="364">
        <v>0</v>
      </c>
      <c r="K28" s="364">
        <v>0</v>
      </c>
      <c r="L28" s="364">
        <v>0</v>
      </c>
      <c r="M28" s="364">
        <v>7</v>
      </c>
      <c r="N28" s="364">
        <v>35</v>
      </c>
      <c r="O28" s="364">
        <v>0</v>
      </c>
      <c r="P28" s="364">
        <v>0</v>
      </c>
      <c r="Q28" s="364">
        <v>0</v>
      </c>
      <c r="R28" s="364">
        <v>0</v>
      </c>
      <c r="S28" s="364">
        <v>0</v>
      </c>
      <c r="T28" s="364">
        <v>0</v>
      </c>
      <c r="U28" s="364">
        <v>0</v>
      </c>
      <c r="V28" s="364">
        <v>1</v>
      </c>
      <c r="W28" s="364">
        <v>35</v>
      </c>
      <c r="X28" s="364">
        <v>0</v>
      </c>
      <c r="Y28" s="364">
        <v>48454.28</v>
      </c>
      <c r="Z28" s="364"/>
      <c r="AA28" s="364"/>
    </row>
    <row r="29" spans="2:27" x14ac:dyDescent="0.25">
      <c r="B29" s="364" t="s">
        <v>914</v>
      </c>
      <c r="C29" s="364" t="s">
        <v>658</v>
      </c>
      <c r="D29" s="364" t="s">
        <v>659</v>
      </c>
      <c r="E29" s="364" t="s">
        <v>965</v>
      </c>
      <c r="F29" s="364">
        <v>1</v>
      </c>
      <c r="G29" s="364">
        <v>0</v>
      </c>
      <c r="H29" s="364">
        <v>0</v>
      </c>
      <c r="I29" s="364">
        <v>0</v>
      </c>
      <c r="J29" s="364">
        <v>0</v>
      </c>
      <c r="K29" s="364">
        <v>0</v>
      </c>
      <c r="L29" s="364">
        <v>0</v>
      </c>
      <c r="M29" s="364">
        <v>7</v>
      </c>
      <c r="N29" s="364">
        <v>35</v>
      </c>
      <c r="O29" s="364">
        <v>0</v>
      </c>
      <c r="P29" s="364">
        <v>0</v>
      </c>
      <c r="Q29" s="364">
        <v>0</v>
      </c>
      <c r="R29" s="364">
        <v>0</v>
      </c>
      <c r="S29" s="364">
        <v>0</v>
      </c>
      <c r="T29" s="364">
        <v>0</v>
      </c>
      <c r="U29" s="364">
        <v>0</v>
      </c>
      <c r="V29" s="364">
        <v>1</v>
      </c>
      <c r="W29" s="364">
        <v>35</v>
      </c>
      <c r="X29" s="364">
        <v>0</v>
      </c>
      <c r="Y29" s="364">
        <v>48454.28</v>
      </c>
      <c r="Z29" s="364"/>
      <c r="AA29" s="364"/>
    </row>
    <row r="30" spans="2:27" x14ac:dyDescent="0.25">
      <c r="B30" s="364" t="s">
        <v>914</v>
      </c>
      <c r="C30" s="364" t="s">
        <v>652</v>
      </c>
      <c r="D30" s="364" t="s">
        <v>653</v>
      </c>
      <c r="E30" s="364" t="s">
        <v>966</v>
      </c>
      <c r="F30" s="364">
        <v>1</v>
      </c>
      <c r="G30" s="364">
        <v>0</v>
      </c>
      <c r="H30" s="364">
        <v>0</v>
      </c>
      <c r="I30" s="364">
        <v>0</v>
      </c>
      <c r="J30" s="364">
        <v>0</v>
      </c>
      <c r="K30" s="364">
        <v>0</v>
      </c>
      <c r="L30" s="364">
        <v>0</v>
      </c>
      <c r="M30" s="364">
        <v>7</v>
      </c>
      <c r="N30" s="364">
        <v>35</v>
      </c>
      <c r="O30" s="364">
        <v>0</v>
      </c>
      <c r="P30" s="364">
        <v>0</v>
      </c>
      <c r="Q30" s="364">
        <v>0</v>
      </c>
      <c r="R30" s="364">
        <v>0</v>
      </c>
      <c r="S30" s="364">
        <v>0</v>
      </c>
      <c r="T30" s="364">
        <v>0</v>
      </c>
      <c r="U30" s="364">
        <v>0</v>
      </c>
      <c r="V30" s="364">
        <v>1</v>
      </c>
      <c r="W30" s="364">
        <v>35</v>
      </c>
      <c r="X30" s="364">
        <v>0</v>
      </c>
      <c r="Y30" s="364">
        <v>48694.28</v>
      </c>
      <c r="Z30" s="364"/>
      <c r="AA30" s="364"/>
    </row>
    <row r="31" spans="2:27" x14ac:dyDescent="0.25">
      <c r="B31" s="364" t="s">
        <v>914</v>
      </c>
      <c r="C31" s="364" t="s">
        <v>648</v>
      </c>
      <c r="D31" s="364" t="s">
        <v>649</v>
      </c>
      <c r="E31" s="364" t="s">
        <v>967</v>
      </c>
      <c r="F31" s="364">
        <v>1</v>
      </c>
      <c r="G31" s="364">
        <v>0</v>
      </c>
      <c r="H31" s="364">
        <v>0</v>
      </c>
      <c r="I31" s="364">
        <v>0</v>
      </c>
      <c r="J31" s="364">
        <v>0</v>
      </c>
      <c r="K31" s="364">
        <v>0</v>
      </c>
      <c r="L31" s="364">
        <v>0</v>
      </c>
      <c r="M31" s="364">
        <v>7</v>
      </c>
      <c r="N31" s="364">
        <v>35</v>
      </c>
      <c r="O31" s="364">
        <v>0</v>
      </c>
      <c r="P31" s="364">
        <v>0</v>
      </c>
      <c r="Q31" s="364">
        <v>0</v>
      </c>
      <c r="R31" s="364">
        <v>0</v>
      </c>
      <c r="S31" s="364">
        <v>0</v>
      </c>
      <c r="T31" s="364">
        <v>0</v>
      </c>
      <c r="U31" s="364">
        <v>0</v>
      </c>
      <c r="V31" s="364">
        <v>1</v>
      </c>
      <c r="W31" s="364">
        <v>35</v>
      </c>
      <c r="X31" s="364">
        <v>0</v>
      </c>
      <c r="Y31" s="364">
        <v>48964.85</v>
      </c>
      <c r="Z31" s="364"/>
      <c r="AA31" s="364"/>
    </row>
    <row r="32" spans="2:27" x14ac:dyDescent="0.25">
      <c r="B32" s="364" t="s">
        <v>914</v>
      </c>
      <c r="C32" s="364" t="s">
        <v>740</v>
      </c>
      <c r="D32" s="364" t="s">
        <v>741</v>
      </c>
      <c r="E32" s="364" t="s">
        <v>968</v>
      </c>
      <c r="F32" s="364">
        <v>1</v>
      </c>
      <c r="G32" s="364">
        <v>0</v>
      </c>
      <c r="H32" s="364">
        <v>0</v>
      </c>
      <c r="I32" s="364">
        <v>0</v>
      </c>
      <c r="J32" s="364">
        <v>0</v>
      </c>
      <c r="K32" s="364">
        <v>0</v>
      </c>
      <c r="L32" s="364">
        <v>0</v>
      </c>
      <c r="M32" s="364">
        <v>7</v>
      </c>
      <c r="N32" s="364">
        <v>35</v>
      </c>
      <c r="O32" s="364">
        <v>0</v>
      </c>
      <c r="P32" s="364">
        <v>0</v>
      </c>
      <c r="Q32" s="364">
        <v>0</v>
      </c>
      <c r="R32" s="364">
        <v>0</v>
      </c>
      <c r="S32" s="364">
        <v>0</v>
      </c>
      <c r="T32" s="364">
        <v>0</v>
      </c>
      <c r="U32" s="364">
        <v>0</v>
      </c>
      <c r="V32" s="364">
        <v>1</v>
      </c>
      <c r="W32" s="364">
        <v>35</v>
      </c>
      <c r="X32" s="364">
        <v>0</v>
      </c>
      <c r="Y32" s="364">
        <v>70943.490000000005</v>
      </c>
      <c r="Z32" s="364"/>
      <c r="AA32" s="364"/>
    </row>
    <row r="33" spans="2:27" x14ac:dyDescent="0.25">
      <c r="B33" s="364" t="s">
        <v>914</v>
      </c>
      <c r="C33" s="364" t="s">
        <v>444</v>
      </c>
      <c r="D33" s="364" t="s">
        <v>445</v>
      </c>
      <c r="E33" s="364" t="s">
        <v>969</v>
      </c>
      <c r="F33" s="364">
        <v>1</v>
      </c>
      <c r="G33" s="364">
        <v>0</v>
      </c>
      <c r="H33" s="364">
        <v>0</v>
      </c>
      <c r="I33" s="364">
        <v>0</v>
      </c>
      <c r="J33" s="364">
        <v>0</v>
      </c>
      <c r="K33" s="364">
        <v>0</v>
      </c>
      <c r="L33" s="364">
        <v>0</v>
      </c>
      <c r="M33" s="364">
        <v>7</v>
      </c>
      <c r="N33" s="364">
        <v>35</v>
      </c>
      <c r="O33" s="364">
        <v>0</v>
      </c>
      <c r="P33" s="364">
        <v>0</v>
      </c>
      <c r="Q33" s="364">
        <v>0</v>
      </c>
      <c r="R33" s="364">
        <v>0</v>
      </c>
      <c r="S33" s="364">
        <v>0</v>
      </c>
      <c r="T33" s="364">
        <v>0</v>
      </c>
      <c r="U33" s="364">
        <v>0</v>
      </c>
      <c r="V33" s="364">
        <v>1</v>
      </c>
      <c r="W33" s="364">
        <v>35</v>
      </c>
      <c r="X33" s="364">
        <v>0</v>
      </c>
      <c r="Y33" s="364">
        <v>41499.39</v>
      </c>
      <c r="Z33" s="364"/>
      <c r="AA33" s="364"/>
    </row>
    <row r="34" spans="2:27" x14ac:dyDescent="0.25">
      <c r="B34" s="364" t="s">
        <v>914</v>
      </c>
      <c r="C34" s="364" t="s">
        <v>626</v>
      </c>
      <c r="D34" s="364" t="s">
        <v>627</v>
      </c>
      <c r="E34" s="364" t="s">
        <v>970</v>
      </c>
      <c r="F34" s="364">
        <v>1</v>
      </c>
      <c r="G34" s="364">
        <v>0</v>
      </c>
      <c r="H34" s="364">
        <v>0</v>
      </c>
      <c r="I34" s="364">
        <v>0</v>
      </c>
      <c r="J34" s="364">
        <v>0</v>
      </c>
      <c r="K34" s="364">
        <v>0</v>
      </c>
      <c r="L34" s="364">
        <v>0</v>
      </c>
      <c r="M34" s="364">
        <v>7</v>
      </c>
      <c r="N34" s="364">
        <v>35</v>
      </c>
      <c r="O34" s="364">
        <v>0</v>
      </c>
      <c r="P34" s="364">
        <v>0</v>
      </c>
      <c r="Q34" s="364">
        <v>0</v>
      </c>
      <c r="R34" s="364">
        <v>0</v>
      </c>
      <c r="S34" s="364">
        <v>0</v>
      </c>
      <c r="T34" s="364">
        <v>0</v>
      </c>
      <c r="U34" s="364">
        <v>0</v>
      </c>
      <c r="V34" s="364">
        <v>1</v>
      </c>
      <c r="W34" s="364">
        <v>35</v>
      </c>
      <c r="X34" s="364">
        <v>0</v>
      </c>
      <c r="Y34" s="364">
        <v>48235.519999999997</v>
      </c>
      <c r="Z34" s="364"/>
      <c r="AA34" s="364"/>
    </row>
    <row r="35" spans="2:27" x14ac:dyDescent="0.25">
      <c r="B35" s="364" t="s">
        <v>914</v>
      </c>
      <c r="C35" s="364" t="s">
        <v>738</v>
      </c>
      <c r="D35" s="364" t="s">
        <v>739</v>
      </c>
      <c r="E35" s="364" t="s">
        <v>971</v>
      </c>
      <c r="F35" s="364">
        <v>1</v>
      </c>
      <c r="G35" s="364">
        <v>0</v>
      </c>
      <c r="H35" s="364">
        <v>0</v>
      </c>
      <c r="I35" s="364">
        <v>0</v>
      </c>
      <c r="J35" s="364">
        <v>0</v>
      </c>
      <c r="K35" s="364">
        <v>0</v>
      </c>
      <c r="L35" s="364">
        <v>0</v>
      </c>
      <c r="M35" s="364">
        <v>7</v>
      </c>
      <c r="N35" s="364">
        <v>35</v>
      </c>
      <c r="O35" s="364">
        <v>0</v>
      </c>
      <c r="P35" s="364">
        <v>0</v>
      </c>
      <c r="Q35" s="364">
        <v>0</v>
      </c>
      <c r="R35" s="364">
        <v>0</v>
      </c>
      <c r="S35" s="364">
        <v>0</v>
      </c>
      <c r="T35" s="364">
        <v>0</v>
      </c>
      <c r="U35" s="364">
        <v>0</v>
      </c>
      <c r="V35" s="364">
        <v>1</v>
      </c>
      <c r="W35" s="364">
        <v>35</v>
      </c>
      <c r="X35" s="364">
        <v>0</v>
      </c>
      <c r="Y35" s="364">
        <v>78899.22</v>
      </c>
      <c r="Z35" s="364"/>
      <c r="AA35" s="364"/>
    </row>
    <row r="36" spans="2:27" x14ac:dyDescent="0.25">
      <c r="B36" s="364" t="s">
        <v>914</v>
      </c>
      <c r="C36" s="364" t="s">
        <v>594</v>
      </c>
      <c r="D36" s="364" t="s">
        <v>595</v>
      </c>
      <c r="E36" s="364" t="s">
        <v>972</v>
      </c>
      <c r="F36" s="364">
        <v>1</v>
      </c>
      <c r="G36" s="364">
        <v>0</v>
      </c>
      <c r="H36" s="364">
        <v>0</v>
      </c>
      <c r="I36" s="364">
        <v>0</v>
      </c>
      <c r="J36" s="364">
        <v>0</v>
      </c>
      <c r="K36" s="364">
        <v>0</v>
      </c>
      <c r="L36" s="364">
        <v>0</v>
      </c>
      <c r="M36" s="364">
        <v>7</v>
      </c>
      <c r="N36" s="364">
        <v>35</v>
      </c>
      <c r="O36" s="364">
        <v>0</v>
      </c>
      <c r="P36" s="364">
        <v>0</v>
      </c>
      <c r="Q36" s="364">
        <v>0</v>
      </c>
      <c r="R36" s="364">
        <v>0</v>
      </c>
      <c r="S36" s="364">
        <v>0</v>
      </c>
      <c r="T36" s="364">
        <v>0</v>
      </c>
      <c r="U36" s="364">
        <v>0</v>
      </c>
      <c r="V36" s="364">
        <v>1</v>
      </c>
      <c r="W36" s="364">
        <v>35</v>
      </c>
      <c r="X36" s="364">
        <v>0</v>
      </c>
      <c r="Y36" s="364">
        <v>48199.05</v>
      </c>
      <c r="Z36" s="364"/>
      <c r="AA36" s="364"/>
    </row>
    <row r="37" spans="2:27" x14ac:dyDescent="0.25">
      <c r="B37" s="364" t="s">
        <v>914</v>
      </c>
      <c r="C37" s="364" t="s">
        <v>418</v>
      </c>
      <c r="D37" s="364" t="s">
        <v>419</v>
      </c>
      <c r="E37" s="364" t="s">
        <v>973</v>
      </c>
      <c r="F37" s="364">
        <v>1</v>
      </c>
      <c r="G37" s="364">
        <v>0</v>
      </c>
      <c r="H37" s="364">
        <v>0</v>
      </c>
      <c r="I37" s="364">
        <v>0</v>
      </c>
      <c r="J37" s="364">
        <v>0</v>
      </c>
      <c r="K37" s="364">
        <v>0</v>
      </c>
      <c r="L37" s="364">
        <v>0</v>
      </c>
      <c r="M37" s="364">
        <v>7</v>
      </c>
      <c r="N37" s="364">
        <v>35</v>
      </c>
      <c r="O37" s="364">
        <v>0</v>
      </c>
      <c r="P37" s="364">
        <v>0</v>
      </c>
      <c r="Q37" s="364">
        <v>0</v>
      </c>
      <c r="R37" s="364">
        <v>0</v>
      </c>
      <c r="S37" s="364">
        <v>0</v>
      </c>
      <c r="T37" s="364">
        <v>0</v>
      </c>
      <c r="U37" s="364">
        <v>0</v>
      </c>
      <c r="V37" s="364">
        <v>1</v>
      </c>
      <c r="W37" s="364">
        <v>35</v>
      </c>
      <c r="X37" s="364">
        <v>0</v>
      </c>
      <c r="Y37" s="364">
        <v>42058.58</v>
      </c>
      <c r="Z37" s="364"/>
      <c r="AA37" s="364"/>
    </row>
    <row r="38" spans="2:27" x14ac:dyDescent="0.25">
      <c r="B38" s="364" t="s">
        <v>914</v>
      </c>
      <c r="C38" s="364" t="s">
        <v>707</v>
      </c>
      <c r="D38" s="364" t="s">
        <v>708</v>
      </c>
      <c r="E38" s="364" t="s">
        <v>974</v>
      </c>
      <c r="F38" s="364">
        <v>1</v>
      </c>
      <c r="G38" s="364">
        <v>0</v>
      </c>
      <c r="H38" s="364">
        <v>0</v>
      </c>
      <c r="I38" s="364">
        <v>0</v>
      </c>
      <c r="J38" s="364">
        <v>0</v>
      </c>
      <c r="K38" s="364">
        <v>0</v>
      </c>
      <c r="L38" s="364">
        <v>0</v>
      </c>
      <c r="M38" s="364">
        <v>7</v>
      </c>
      <c r="N38" s="364">
        <v>35</v>
      </c>
      <c r="O38" s="364">
        <v>0</v>
      </c>
      <c r="P38" s="364">
        <v>0</v>
      </c>
      <c r="Q38" s="364">
        <v>0</v>
      </c>
      <c r="R38" s="364">
        <v>0</v>
      </c>
      <c r="S38" s="364">
        <v>0</v>
      </c>
      <c r="T38" s="364">
        <v>0</v>
      </c>
      <c r="U38" s="364">
        <v>0</v>
      </c>
      <c r="V38" s="364">
        <v>1</v>
      </c>
      <c r="W38" s="364">
        <v>35</v>
      </c>
      <c r="X38" s="364">
        <v>0</v>
      </c>
      <c r="Y38" s="364">
        <v>48016.7</v>
      </c>
      <c r="Z38" s="364"/>
      <c r="AA38" s="364"/>
    </row>
    <row r="39" spans="2:27" x14ac:dyDescent="0.25">
      <c r="B39" s="364" t="s">
        <v>914</v>
      </c>
      <c r="C39" s="364" t="s">
        <v>410</v>
      </c>
      <c r="D39" s="364" t="s">
        <v>411</v>
      </c>
      <c r="E39" s="364" t="s">
        <v>975</v>
      </c>
      <c r="F39" s="364">
        <v>1</v>
      </c>
      <c r="G39" s="364">
        <v>0</v>
      </c>
      <c r="H39" s="364">
        <v>0</v>
      </c>
      <c r="I39" s="364">
        <v>0</v>
      </c>
      <c r="J39" s="364">
        <v>0</v>
      </c>
      <c r="K39" s="364">
        <v>0</v>
      </c>
      <c r="L39" s="364">
        <v>0</v>
      </c>
      <c r="M39" s="364">
        <v>7</v>
      </c>
      <c r="N39" s="364">
        <v>35</v>
      </c>
      <c r="O39" s="364">
        <v>0</v>
      </c>
      <c r="P39" s="364">
        <v>0</v>
      </c>
      <c r="Q39" s="364">
        <v>0</v>
      </c>
      <c r="R39" s="364">
        <v>0</v>
      </c>
      <c r="S39" s="364">
        <v>0</v>
      </c>
      <c r="T39" s="364">
        <v>0</v>
      </c>
      <c r="U39" s="364">
        <v>0</v>
      </c>
      <c r="V39" s="364">
        <v>1</v>
      </c>
      <c r="W39" s="364">
        <v>35</v>
      </c>
      <c r="X39" s="364">
        <v>0</v>
      </c>
      <c r="Y39" s="364">
        <v>39336.46</v>
      </c>
      <c r="Z39" s="364"/>
      <c r="AA39" s="364"/>
    </row>
    <row r="40" spans="2:27" x14ac:dyDescent="0.25">
      <c r="B40" s="364" t="s">
        <v>914</v>
      </c>
      <c r="C40" s="364" t="s">
        <v>642</v>
      </c>
      <c r="D40" s="364" t="s">
        <v>643</v>
      </c>
      <c r="E40" s="364" t="s">
        <v>976</v>
      </c>
      <c r="F40" s="364">
        <v>1</v>
      </c>
      <c r="G40" s="364">
        <v>0</v>
      </c>
      <c r="H40" s="364">
        <v>0</v>
      </c>
      <c r="I40" s="364">
        <v>0</v>
      </c>
      <c r="J40" s="364">
        <v>0</v>
      </c>
      <c r="K40" s="364">
        <v>0</v>
      </c>
      <c r="L40" s="364">
        <v>0</v>
      </c>
      <c r="M40" s="364">
        <v>7</v>
      </c>
      <c r="N40" s="364">
        <v>35</v>
      </c>
      <c r="O40" s="364">
        <v>0</v>
      </c>
      <c r="P40" s="364">
        <v>0</v>
      </c>
      <c r="Q40" s="364">
        <v>0</v>
      </c>
      <c r="R40" s="364">
        <v>0</v>
      </c>
      <c r="S40" s="364">
        <v>0</v>
      </c>
      <c r="T40" s="364">
        <v>0</v>
      </c>
      <c r="U40" s="364">
        <v>0</v>
      </c>
      <c r="V40" s="364">
        <v>1</v>
      </c>
      <c r="W40" s="364">
        <v>35</v>
      </c>
      <c r="X40" s="364">
        <v>0</v>
      </c>
      <c r="Y40" s="364">
        <v>48016.7</v>
      </c>
      <c r="Z40" s="364"/>
      <c r="AA40" s="364"/>
    </row>
    <row r="41" spans="2:27" x14ac:dyDescent="0.25">
      <c r="B41" s="364" t="s">
        <v>914</v>
      </c>
      <c r="C41" s="364" t="s">
        <v>370</v>
      </c>
      <c r="D41" s="364" t="s">
        <v>371</v>
      </c>
      <c r="E41" s="364" t="s">
        <v>977</v>
      </c>
      <c r="F41" s="364">
        <v>1</v>
      </c>
      <c r="G41" s="364">
        <v>0</v>
      </c>
      <c r="H41" s="364">
        <v>0</v>
      </c>
      <c r="I41" s="364">
        <v>0</v>
      </c>
      <c r="J41" s="364">
        <v>0</v>
      </c>
      <c r="K41" s="364">
        <v>0</v>
      </c>
      <c r="L41" s="364">
        <v>0</v>
      </c>
      <c r="M41" s="364">
        <v>7</v>
      </c>
      <c r="N41" s="364">
        <v>35</v>
      </c>
      <c r="O41" s="364">
        <v>0</v>
      </c>
      <c r="P41" s="364">
        <v>0</v>
      </c>
      <c r="Q41" s="364">
        <v>0</v>
      </c>
      <c r="R41" s="364">
        <v>0</v>
      </c>
      <c r="S41" s="364">
        <v>0</v>
      </c>
      <c r="T41" s="364">
        <v>0</v>
      </c>
      <c r="U41" s="364">
        <v>0</v>
      </c>
      <c r="V41" s="364">
        <v>1</v>
      </c>
      <c r="W41" s="364">
        <v>35</v>
      </c>
      <c r="X41" s="364">
        <v>0</v>
      </c>
      <c r="Y41" s="364">
        <v>43623.69</v>
      </c>
      <c r="Z41" s="364"/>
      <c r="AA41" s="364"/>
    </row>
    <row r="42" spans="2:27" x14ac:dyDescent="0.25">
      <c r="B42" s="364" t="s">
        <v>914</v>
      </c>
      <c r="C42" s="364" t="s">
        <v>500</v>
      </c>
      <c r="D42" s="364" t="s">
        <v>501</v>
      </c>
      <c r="E42" s="364" t="s">
        <v>978</v>
      </c>
      <c r="F42" s="364">
        <v>1</v>
      </c>
      <c r="G42" s="364">
        <v>0</v>
      </c>
      <c r="H42" s="364">
        <v>0</v>
      </c>
      <c r="I42" s="364">
        <v>0</v>
      </c>
      <c r="J42" s="364">
        <v>0</v>
      </c>
      <c r="K42" s="364">
        <v>0</v>
      </c>
      <c r="L42" s="364">
        <v>0</v>
      </c>
      <c r="M42" s="364">
        <v>7</v>
      </c>
      <c r="N42" s="364">
        <v>35</v>
      </c>
      <c r="O42" s="364">
        <v>0</v>
      </c>
      <c r="P42" s="364">
        <v>0</v>
      </c>
      <c r="Q42" s="364">
        <v>0</v>
      </c>
      <c r="R42" s="364">
        <v>0</v>
      </c>
      <c r="S42" s="364">
        <v>0</v>
      </c>
      <c r="T42" s="364">
        <v>0</v>
      </c>
      <c r="U42" s="364">
        <v>0</v>
      </c>
      <c r="V42" s="364">
        <v>1</v>
      </c>
      <c r="W42" s="364">
        <v>35</v>
      </c>
      <c r="X42" s="364">
        <v>0</v>
      </c>
      <c r="Y42" s="364">
        <v>48016.7</v>
      </c>
      <c r="Z42" s="364"/>
      <c r="AA42" s="364"/>
    </row>
    <row r="43" spans="2:27" x14ac:dyDescent="0.25">
      <c r="B43" s="364" t="s">
        <v>914</v>
      </c>
      <c r="C43" s="364" t="s">
        <v>704</v>
      </c>
      <c r="D43" s="364" t="s">
        <v>705</v>
      </c>
      <c r="E43" s="364" t="s">
        <v>979</v>
      </c>
      <c r="F43" s="364">
        <v>1</v>
      </c>
      <c r="G43" s="364">
        <v>0</v>
      </c>
      <c r="H43" s="364">
        <v>0</v>
      </c>
      <c r="I43" s="364">
        <v>0</v>
      </c>
      <c r="J43" s="364">
        <v>0</v>
      </c>
      <c r="K43" s="364">
        <v>0</v>
      </c>
      <c r="L43" s="364">
        <v>0</v>
      </c>
      <c r="M43" s="364">
        <v>7</v>
      </c>
      <c r="N43" s="364">
        <v>35</v>
      </c>
      <c r="O43" s="364">
        <v>0</v>
      </c>
      <c r="P43" s="364">
        <v>0</v>
      </c>
      <c r="Q43" s="364">
        <v>0</v>
      </c>
      <c r="R43" s="364">
        <v>0</v>
      </c>
      <c r="S43" s="364">
        <v>0</v>
      </c>
      <c r="T43" s="364">
        <v>0</v>
      </c>
      <c r="U43" s="364">
        <v>0</v>
      </c>
      <c r="V43" s="364">
        <v>1</v>
      </c>
      <c r="W43" s="364">
        <v>35</v>
      </c>
      <c r="X43" s="364">
        <v>0</v>
      </c>
      <c r="Y43" s="364">
        <v>48016.7</v>
      </c>
      <c r="Z43" s="364"/>
      <c r="AA43" s="364"/>
    </row>
    <row r="44" spans="2:27" x14ac:dyDescent="0.25">
      <c r="B44" s="364" t="s">
        <v>914</v>
      </c>
      <c r="C44" s="364" t="s">
        <v>523</v>
      </c>
      <c r="D44" s="364" t="s">
        <v>524</v>
      </c>
      <c r="E44" s="364" t="s">
        <v>980</v>
      </c>
      <c r="F44" s="364">
        <v>1</v>
      </c>
      <c r="G44" s="364">
        <v>0</v>
      </c>
      <c r="H44" s="364">
        <v>0</v>
      </c>
      <c r="I44" s="364">
        <v>0</v>
      </c>
      <c r="J44" s="364">
        <v>0</v>
      </c>
      <c r="K44" s="364">
        <v>0</v>
      </c>
      <c r="L44" s="364">
        <v>0</v>
      </c>
      <c r="M44" s="364">
        <v>7</v>
      </c>
      <c r="N44" s="364">
        <v>35</v>
      </c>
      <c r="O44" s="364">
        <v>0</v>
      </c>
      <c r="P44" s="364">
        <v>0</v>
      </c>
      <c r="Q44" s="364">
        <v>0</v>
      </c>
      <c r="R44" s="364">
        <v>0</v>
      </c>
      <c r="S44" s="364">
        <v>0</v>
      </c>
      <c r="T44" s="364">
        <v>0</v>
      </c>
      <c r="U44" s="364">
        <v>0</v>
      </c>
      <c r="V44" s="364">
        <v>1</v>
      </c>
      <c r="W44" s="364">
        <v>35</v>
      </c>
      <c r="X44" s="364">
        <v>0</v>
      </c>
      <c r="Y44" s="364">
        <v>45211.16</v>
      </c>
      <c r="Z44" s="364"/>
      <c r="AA44" s="364"/>
    </row>
    <row r="45" spans="2:27" x14ac:dyDescent="0.25">
      <c r="B45" s="364" t="s">
        <v>914</v>
      </c>
      <c r="C45" s="364" t="s">
        <v>700</v>
      </c>
      <c r="D45" s="364" t="s">
        <v>701</v>
      </c>
      <c r="E45" s="364" t="s">
        <v>981</v>
      </c>
      <c r="F45" s="364">
        <v>1</v>
      </c>
      <c r="G45" s="364">
        <v>0</v>
      </c>
      <c r="H45" s="364">
        <v>0</v>
      </c>
      <c r="I45" s="364">
        <v>0</v>
      </c>
      <c r="J45" s="364">
        <v>0</v>
      </c>
      <c r="K45" s="364">
        <v>0</v>
      </c>
      <c r="L45" s="364">
        <v>0</v>
      </c>
      <c r="M45" s="364">
        <v>7</v>
      </c>
      <c r="N45" s="364">
        <v>35</v>
      </c>
      <c r="O45" s="364">
        <v>0</v>
      </c>
      <c r="P45" s="364">
        <v>0</v>
      </c>
      <c r="Q45" s="364">
        <v>0</v>
      </c>
      <c r="R45" s="364">
        <v>0</v>
      </c>
      <c r="S45" s="364">
        <v>0</v>
      </c>
      <c r="T45" s="364">
        <v>0</v>
      </c>
      <c r="U45" s="364">
        <v>0</v>
      </c>
      <c r="V45" s="364">
        <v>1</v>
      </c>
      <c r="W45" s="364">
        <v>35</v>
      </c>
      <c r="X45" s="364">
        <v>0</v>
      </c>
      <c r="Y45" s="364">
        <v>48256.7</v>
      </c>
      <c r="Z45" s="364"/>
      <c r="AA45" s="364"/>
    </row>
    <row r="46" spans="2:27" x14ac:dyDescent="0.25">
      <c r="B46" s="364" t="s">
        <v>914</v>
      </c>
      <c r="C46" s="364" t="s">
        <v>698</v>
      </c>
      <c r="D46" s="364" t="s">
        <v>699</v>
      </c>
      <c r="E46" s="364" t="s">
        <v>982</v>
      </c>
      <c r="F46" s="364">
        <v>1</v>
      </c>
      <c r="G46" s="364">
        <v>0</v>
      </c>
      <c r="H46" s="364">
        <v>0</v>
      </c>
      <c r="I46" s="364">
        <v>0</v>
      </c>
      <c r="J46" s="364">
        <v>0</v>
      </c>
      <c r="K46" s="364">
        <v>0</v>
      </c>
      <c r="L46" s="364">
        <v>0</v>
      </c>
      <c r="M46" s="364">
        <v>7</v>
      </c>
      <c r="N46" s="364">
        <v>35</v>
      </c>
      <c r="O46" s="364">
        <v>0</v>
      </c>
      <c r="P46" s="364">
        <v>0</v>
      </c>
      <c r="Q46" s="364">
        <v>0</v>
      </c>
      <c r="R46" s="364">
        <v>0</v>
      </c>
      <c r="S46" s="364">
        <v>0</v>
      </c>
      <c r="T46" s="364">
        <v>0</v>
      </c>
      <c r="U46" s="364">
        <v>0</v>
      </c>
      <c r="V46" s="364">
        <v>1</v>
      </c>
      <c r="W46" s="364">
        <v>35</v>
      </c>
      <c r="X46" s="364">
        <v>0</v>
      </c>
      <c r="Y46" s="364">
        <v>47980.23</v>
      </c>
      <c r="Z46" s="364"/>
      <c r="AA46" s="364"/>
    </row>
    <row r="47" spans="2:27" x14ac:dyDescent="0.25">
      <c r="B47" s="364" t="s">
        <v>914</v>
      </c>
      <c r="C47" s="364" t="s">
        <v>385</v>
      </c>
      <c r="D47" s="364" t="s">
        <v>386</v>
      </c>
      <c r="E47" s="364" t="s">
        <v>983</v>
      </c>
      <c r="F47" s="364">
        <v>1</v>
      </c>
      <c r="G47" s="364">
        <v>0</v>
      </c>
      <c r="H47" s="364">
        <v>0</v>
      </c>
      <c r="I47" s="364">
        <v>0</v>
      </c>
      <c r="J47" s="364">
        <v>0</v>
      </c>
      <c r="K47" s="364">
        <v>0</v>
      </c>
      <c r="L47" s="364">
        <v>0</v>
      </c>
      <c r="M47" s="364">
        <v>7</v>
      </c>
      <c r="N47" s="364">
        <v>35</v>
      </c>
      <c r="O47" s="364">
        <v>0</v>
      </c>
      <c r="P47" s="364">
        <v>0</v>
      </c>
      <c r="Q47" s="364">
        <v>0</v>
      </c>
      <c r="R47" s="364">
        <v>0</v>
      </c>
      <c r="S47" s="364">
        <v>0</v>
      </c>
      <c r="T47" s="364">
        <v>0</v>
      </c>
      <c r="U47" s="364">
        <v>0</v>
      </c>
      <c r="V47" s="364">
        <v>1</v>
      </c>
      <c r="W47" s="364">
        <v>35</v>
      </c>
      <c r="X47" s="364">
        <v>0</v>
      </c>
      <c r="Y47" s="364">
        <v>41190.269999999997</v>
      </c>
      <c r="Z47" s="364"/>
      <c r="AA47" s="364"/>
    </row>
    <row r="48" spans="2:27" x14ac:dyDescent="0.25">
      <c r="B48" s="364" t="s">
        <v>914</v>
      </c>
      <c r="C48" s="364" t="s">
        <v>406</v>
      </c>
      <c r="D48" s="364" t="s">
        <v>407</v>
      </c>
      <c r="E48" s="364" t="s">
        <v>984</v>
      </c>
      <c r="F48" s="364">
        <v>1</v>
      </c>
      <c r="G48" s="364">
        <v>0</v>
      </c>
      <c r="H48" s="364">
        <v>0</v>
      </c>
      <c r="I48" s="364">
        <v>0</v>
      </c>
      <c r="J48" s="364">
        <v>0</v>
      </c>
      <c r="K48" s="364">
        <v>0</v>
      </c>
      <c r="L48" s="364">
        <v>0</v>
      </c>
      <c r="M48" s="364">
        <v>7</v>
      </c>
      <c r="N48" s="364">
        <v>35</v>
      </c>
      <c r="O48" s="364">
        <v>0</v>
      </c>
      <c r="P48" s="364">
        <v>0</v>
      </c>
      <c r="Q48" s="364">
        <v>0</v>
      </c>
      <c r="R48" s="364">
        <v>0</v>
      </c>
      <c r="S48" s="364">
        <v>0</v>
      </c>
      <c r="T48" s="364">
        <v>0</v>
      </c>
      <c r="U48" s="364">
        <v>0</v>
      </c>
      <c r="V48" s="364">
        <v>1</v>
      </c>
      <c r="W48" s="364">
        <v>35</v>
      </c>
      <c r="X48" s="364">
        <v>0</v>
      </c>
      <c r="Y48" s="364">
        <v>41125.15</v>
      </c>
      <c r="Z48" s="364"/>
      <c r="AA48" s="364"/>
    </row>
    <row r="49" spans="2:27" x14ac:dyDescent="0.25">
      <c r="B49" s="364" t="s">
        <v>914</v>
      </c>
      <c r="C49" s="364" t="s">
        <v>680</v>
      </c>
      <c r="D49" s="364" t="s">
        <v>681</v>
      </c>
      <c r="E49" s="364" t="s">
        <v>985</v>
      </c>
      <c r="F49" s="364">
        <v>1</v>
      </c>
      <c r="G49" s="364">
        <v>0</v>
      </c>
      <c r="H49" s="364">
        <v>0</v>
      </c>
      <c r="I49" s="364">
        <v>0</v>
      </c>
      <c r="J49" s="364">
        <v>0</v>
      </c>
      <c r="K49" s="364">
        <v>0</v>
      </c>
      <c r="L49" s="364">
        <v>0</v>
      </c>
      <c r="M49" s="364">
        <v>7</v>
      </c>
      <c r="N49" s="364">
        <v>35</v>
      </c>
      <c r="O49" s="364">
        <v>0</v>
      </c>
      <c r="P49" s="364">
        <v>0</v>
      </c>
      <c r="Q49" s="364">
        <v>0</v>
      </c>
      <c r="R49" s="364">
        <v>0</v>
      </c>
      <c r="S49" s="364">
        <v>0</v>
      </c>
      <c r="T49" s="364">
        <v>0</v>
      </c>
      <c r="U49" s="364">
        <v>0</v>
      </c>
      <c r="V49" s="364">
        <v>1</v>
      </c>
      <c r="W49" s="364">
        <v>35</v>
      </c>
      <c r="X49" s="364">
        <v>0</v>
      </c>
      <c r="Y49" s="364">
        <v>47870.82</v>
      </c>
      <c r="Z49" s="364"/>
      <c r="AA49" s="364"/>
    </row>
    <row r="50" spans="2:27" x14ac:dyDescent="0.25">
      <c r="B50" s="364" t="s">
        <v>914</v>
      </c>
      <c r="C50" s="364" t="s">
        <v>667</v>
      </c>
      <c r="D50" s="364" t="s">
        <v>668</v>
      </c>
      <c r="E50" s="364" t="s">
        <v>986</v>
      </c>
      <c r="F50" s="364">
        <v>1</v>
      </c>
      <c r="G50" s="364">
        <v>0</v>
      </c>
      <c r="H50" s="364">
        <v>0</v>
      </c>
      <c r="I50" s="364">
        <v>0</v>
      </c>
      <c r="J50" s="364">
        <v>0</v>
      </c>
      <c r="K50" s="364">
        <v>0</v>
      </c>
      <c r="L50" s="364">
        <v>0</v>
      </c>
      <c r="M50" s="364">
        <v>7</v>
      </c>
      <c r="N50" s="364">
        <v>35</v>
      </c>
      <c r="O50" s="364">
        <v>0</v>
      </c>
      <c r="P50" s="364">
        <v>0</v>
      </c>
      <c r="Q50" s="364">
        <v>0</v>
      </c>
      <c r="R50" s="364">
        <v>0</v>
      </c>
      <c r="S50" s="364">
        <v>0</v>
      </c>
      <c r="T50" s="364">
        <v>0</v>
      </c>
      <c r="U50" s="364">
        <v>0</v>
      </c>
      <c r="V50" s="364">
        <v>1</v>
      </c>
      <c r="W50" s="364">
        <v>35</v>
      </c>
      <c r="X50" s="364">
        <v>0</v>
      </c>
      <c r="Y50" s="364">
        <v>62566.02</v>
      </c>
      <c r="Z50" s="364"/>
      <c r="AA50" s="364"/>
    </row>
    <row r="51" spans="2:27" x14ac:dyDescent="0.25">
      <c r="B51" s="364" t="s">
        <v>914</v>
      </c>
      <c r="C51" s="364" t="s">
        <v>660</v>
      </c>
      <c r="D51" s="364" t="s">
        <v>661</v>
      </c>
      <c r="E51" s="364" t="s">
        <v>1381</v>
      </c>
      <c r="F51" s="364">
        <v>1</v>
      </c>
      <c r="G51" s="364">
        <v>0</v>
      </c>
      <c r="H51" s="364">
        <v>0</v>
      </c>
      <c r="I51" s="364">
        <v>0</v>
      </c>
      <c r="J51" s="364">
        <v>0</v>
      </c>
      <c r="K51" s="364">
        <v>0</v>
      </c>
      <c r="L51" s="364">
        <v>0</v>
      </c>
      <c r="M51" s="364">
        <v>7</v>
      </c>
      <c r="N51" s="364">
        <v>35</v>
      </c>
      <c r="O51" s="364">
        <v>0</v>
      </c>
      <c r="P51" s="364">
        <v>0</v>
      </c>
      <c r="Q51" s="364">
        <v>0</v>
      </c>
      <c r="R51" s="364">
        <v>0</v>
      </c>
      <c r="S51" s="364">
        <v>0</v>
      </c>
      <c r="T51" s="364">
        <v>0</v>
      </c>
      <c r="U51" s="364">
        <v>0</v>
      </c>
      <c r="V51" s="364">
        <v>1</v>
      </c>
      <c r="W51" s="364">
        <v>35</v>
      </c>
      <c r="X51" s="364">
        <v>0</v>
      </c>
      <c r="Y51" s="364">
        <v>48600.15</v>
      </c>
      <c r="Z51" s="364"/>
      <c r="AA51" s="364"/>
    </row>
    <row r="52" spans="2:27" x14ac:dyDescent="0.25">
      <c r="B52" s="364" t="s">
        <v>914</v>
      </c>
      <c r="C52" s="364" t="s">
        <v>1359</v>
      </c>
      <c r="D52" s="364" t="s">
        <v>1360</v>
      </c>
      <c r="E52" s="364" t="s">
        <v>1361</v>
      </c>
      <c r="F52" s="364">
        <v>1</v>
      </c>
      <c r="G52" s="364">
        <v>0</v>
      </c>
      <c r="H52" s="364">
        <v>0</v>
      </c>
      <c r="I52" s="364">
        <v>0</v>
      </c>
      <c r="J52" s="364">
        <v>0</v>
      </c>
      <c r="K52" s="364">
        <v>0</v>
      </c>
      <c r="L52" s="364">
        <v>0</v>
      </c>
      <c r="M52" s="364">
        <v>7</v>
      </c>
      <c r="N52" s="364">
        <v>35</v>
      </c>
      <c r="O52" s="364">
        <v>0</v>
      </c>
      <c r="P52" s="364">
        <v>0</v>
      </c>
      <c r="Q52" s="364">
        <v>0</v>
      </c>
      <c r="R52" s="364">
        <v>0</v>
      </c>
      <c r="S52" s="364">
        <v>0</v>
      </c>
      <c r="T52" s="364">
        <v>0</v>
      </c>
      <c r="U52" s="364">
        <v>0</v>
      </c>
      <c r="V52" s="364">
        <v>1</v>
      </c>
      <c r="W52" s="364">
        <v>35</v>
      </c>
      <c r="X52" s="364">
        <v>0</v>
      </c>
      <c r="Y52" s="364">
        <v>47579.06</v>
      </c>
      <c r="Z52" s="364"/>
      <c r="AA52" s="364"/>
    </row>
    <row r="53" spans="2:27" x14ac:dyDescent="0.25">
      <c r="B53" s="364" t="s">
        <v>914</v>
      </c>
      <c r="C53" s="364" t="s">
        <v>360</v>
      </c>
      <c r="D53" s="364" t="s">
        <v>361</v>
      </c>
      <c r="E53" s="364" t="s">
        <v>987</v>
      </c>
      <c r="F53" s="364">
        <v>1</v>
      </c>
      <c r="G53" s="364">
        <v>0</v>
      </c>
      <c r="H53" s="364">
        <v>0</v>
      </c>
      <c r="I53" s="364">
        <v>0</v>
      </c>
      <c r="J53" s="364">
        <v>0</v>
      </c>
      <c r="K53" s="364">
        <v>0</v>
      </c>
      <c r="L53" s="364">
        <v>0</v>
      </c>
      <c r="M53" s="364">
        <v>7</v>
      </c>
      <c r="N53" s="364">
        <v>35</v>
      </c>
      <c r="O53" s="364">
        <v>0</v>
      </c>
      <c r="P53" s="364">
        <v>0</v>
      </c>
      <c r="Q53" s="364">
        <v>0</v>
      </c>
      <c r="R53" s="364">
        <v>0</v>
      </c>
      <c r="S53" s="364">
        <v>0</v>
      </c>
      <c r="T53" s="364">
        <v>0</v>
      </c>
      <c r="U53" s="364">
        <v>0</v>
      </c>
      <c r="V53" s="364">
        <v>1</v>
      </c>
      <c r="W53" s="364">
        <v>35</v>
      </c>
      <c r="X53" s="364">
        <v>0</v>
      </c>
      <c r="Y53" s="364">
        <v>36308.39</v>
      </c>
      <c r="Z53" s="364"/>
      <c r="AA53" s="364"/>
    </row>
    <row r="54" spans="2:27" x14ac:dyDescent="0.25">
      <c r="B54" s="364" t="s">
        <v>914</v>
      </c>
      <c r="C54" s="364" t="s">
        <v>446</v>
      </c>
      <c r="D54" s="364" t="s">
        <v>447</v>
      </c>
      <c r="E54" s="364" t="s">
        <v>988</v>
      </c>
      <c r="F54" s="364">
        <v>1</v>
      </c>
      <c r="G54" s="364">
        <v>0</v>
      </c>
      <c r="H54" s="364">
        <v>0</v>
      </c>
      <c r="I54" s="364">
        <v>0</v>
      </c>
      <c r="J54" s="364">
        <v>0</v>
      </c>
      <c r="K54" s="364">
        <v>0</v>
      </c>
      <c r="L54" s="364">
        <v>0</v>
      </c>
      <c r="M54" s="364">
        <v>7</v>
      </c>
      <c r="N54" s="364">
        <v>35</v>
      </c>
      <c r="O54" s="364">
        <v>0</v>
      </c>
      <c r="P54" s="364">
        <v>0</v>
      </c>
      <c r="Q54" s="364">
        <v>0</v>
      </c>
      <c r="R54" s="364">
        <v>0</v>
      </c>
      <c r="S54" s="364">
        <v>0</v>
      </c>
      <c r="T54" s="364">
        <v>0</v>
      </c>
      <c r="U54" s="364">
        <v>0</v>
      </c>
      <c r="V54" s="364">
        <v>1</v>
      </c>
      <c r="W54" s="364">
        <v>35</v>
      </c>
      <c r="X54" s="364">
        <v>0</v>
      </c>
      <c r="Y54" s="364">
        <v>41819.089999999997</v>
      </c>
      <c r="Z54" s="364"/>
      <c r="AA54" s="364"/>
    </row>
    <row r="55" spans="2:27" x14ac:dyDescent="0.25">
      <c r="B55" s="364" t="s">
        <v>914</v>
      </c>
      <c r="C55" s="364" t="s">
        <v>602</v>
      </c>
      <c r="D55" s="364" t="s">
        <v>603</v>
      </c>
      <c r="E55" s="364" t="s">
        <v>989</v>
      </c>
      <c r="F55" s="364">
        <v>1</v>
      </c>
      <c r="G55" s="364">
        <v>0</v>
      </c>
      <c r="H55" s="364">
        <v>0</v>
      </c>
      <c r="I55" s="364">
        <v>0</v>
      </c>
      <c r="J55" s="364">
        <v>0</v>
      </c>
      <c r="K55" s="364">
        <v>0</v>
      </c>
      <c r="L55" s="364">
        <v>0</v>
      </c>
      <c r="M55" s="364">
        <v>7</v>
      </c>
      <c r="N55" s="364">
        <v>35</v>
      </c>
      <c r="O55" s="364">
        <v>0</v>
      </c>
      <c r="P55" s="364">
        <v>0</v>
      </c>
      <c r="Q55" s="364">
        <v>0</v>
      </c>
      <c r="R55" s="364">
        <v>0</v>
      </c>
      <c r="S55" s="364">
        <v>0</v>
      </c>
      <c r="T55" s="364">
        <v>0</v>
      </c>
      <c r="U55" s="364">
        <v>0</v>
      </c>
      <c r="V55" s="364">
        <v>1</v>
      </c>
      <c r="W55" s="364">
        <v>35</v>
      </c>
      <c r="X55" s="364">
        <v>0</v>
      </c>
      <c r="Y55" s="364">
        <v>60797.88</v>
      </c>
      <c r="Z55" s="364"/>
      <c r="AA55" s="364"/>
    </row>
    <row r="56" spans="2:27" x14ac:dyDescent="0.25">
      <c r="B56" s="364" t="s">
        <v>914</v>
      </c>
      <c r="C56" s="364" t="s">
        <v>606</v>
      </c>
      <c r="D56" s="364" t="s">
        <v>607</v>
      </c>
      <c r="E56" s="364" t="s">
        <v>990</v>
      </c>
      <c r="F56" s="364">
        <v>1</v>
      </c>
      <c r="G56" s="364">
        <v>0</v>
      </c>
      <c r="H56" s="364">
        <v>0</v>
      </c>
      <c r="I56" s="364">
        <v>0</v>
      </c>
      <c r="J56" s="364">
        <v>0</v>
      </c>
      <c r="K56" s="364">
        <v>0</v>
      </c>
      <c r="L56" s="364">
        <v>0</v>
      </c>
      <c r="M56" s="364">
        <v>7</v>
      </c>
      <c r="N56" s="364">
        <v>35</v>
      </c>
      <c r="O56" s="364">
        <v>0</v>
      </c>
      <c r="P56" s="364">
        <v>0</v>
      </c>
      <c r="Q56" s="364">
        <v>0</v>
      </c>
      <c r="R56" s="364">
        <v>0</v>
      </c>
      <c r="S56" s="364">
        <v>0</v>
      </c>
      <c r="T56" s="364">
        <v>0</v>
      </c>
      <c r="U56" s="364">
        <v>0</v>
      </c>
      <c r="V56" s="364">
        <v>1</v>
      </c>
      <c r="W56" s="364">
        <v>35</v>
      </c>
      <c r="X56" s="364">
        <v>0</v>
      </c>
      <c r="Y56" s="364">
        <v>61037.9</v>
      </c>
      <c r="Z56" s="364"/>
      <c r="AA56" s="364"/>
    </row>
    <row r="57" spans="2:27" x14ac:dyDescent="0.25">
      <c r="B57" s="364" t="s">
        <v>914</v>
      </c>
      <c r="C57" s="364" t="s">
        <v>614</v>
      </c>
      <c r="D57" s="364" t="s">
        <v>615</v>
      </c>
      <c r="E57" s="364" t="s">
        <v>991</v>
      </c>
      <c r="F57" s="364">
        <v>1</v>
      </c>
      <c r="G57" s="364">
        <v>0</v>
      </c>
      <c r="H57" s="364">
        <v>0</v>
      </c>
      <c r="I57" s="364">
        <v>0</v>
      </c>
      <c r="J57" s="364">
        <v>0</v>
      </c>
      <c r="K57" s="364">
        <v>0</v>
      </c>
      <c r="L57" s="364">
        <v>0</v>
      </c>
      <c r="M57" s="364">
        <v>7</v>
      </c>
      <c r="N57" s="364">
        <v>35</v>
      </c>
      <c r="O57" s="364">
        <v>0</v>
      </c>
      <c r="P57" s="364">
        <v>0</v>
      </c>
      <c r="Q57" s="364">
        <v>0</v>
      </c>
      <c r="R57" s="364">
        <v>0</v>
      </c>
      <c r="S57" s="364">
        <v>0</v>
      </c>
      <c r="T57" s="364">
        <v>0</v>
      </c>
      <c r="U57" s="364">
        <v>0</v>
      </c>
      <c r="V57" s="364">
        <v>1</v>
      </c>
      <c r="W57" s="364">
        <v>35</v>
      </c>
      <c r="X57" s="364">
        <v>0</v>
      </c>
      <c r="Y57" s="364">
        <v>60797.88</v>
      </c>
      <c r="Z57" s="364"/>
      <c r="AA57" s="364"/>
    </row>
    <row r="58" spans="2:27" x14ac:dyDescent="0.25">
      <c r="B58" s="364" t="s">
        <v>914</v>
      </c>
      <c r="C58" s="364" t="s">
        <v>618</v>
      </c>
      <c r="D58" s="364" t="s">
        <v>619</v>
      </c>
      <c r="E58" s="364" t="s">
        <v>992</v>
      </c>
      <c r="F58" s="364">
        <v>1</v>
      </c>
      <c r="G58" s="364">
        <v>0</v>
      </c>
      <c r="H58" s="364">
        <v>0</v>
      </c>
      <c r="I58" s="364">
        <v>0</v>
      </c>
      <c r="J58" s="364">
        <v>0</v>
      </c>
      <c r="K58" s="364">
        <v>0</v>
      </c>
      <c r="L58" s="364">
        <v>0</v>
      </c>
      <c r="M58" s="364">
        <v>7</v>
      </c>
      <c r="N58" s="364">
        <v>35</v>
      </c>
      <c r="O58" s="364">
        <v>0</v>
      </c>
      <c r="P58" s="364">
        <v>0</v>
      </c>
      <c r="Q58" s="364">
        <v>0</v>
      </c>
      <c r="R58" s="364">
        <v>0</v>
      </c>
      <c r="S58" s="364">
        <v>0</v>
      </c>
      <c r="T58" s="364">
        <v>0</v>
      </c>
      <c r="U58" s="364">
        <v>0</v>
      </c>
      <c r="V58" s="364">
        <v>1</v>
      </c>
      <c r="W58" s="364">
        <v>35</v>
      </c>
      <c r="X58" s="364">
        <v>0</v>
      </c>
      <c r="Y58" s="364">
        <v>60797.88</v>
      </c>
      <c r="Z58" s="364"/>
      <c r="AA58" s="364"/>
    </row>
    <row r="59" spans="2:27" x14ac:dyDescent="0.25">
      <c r="B59" s="364" t="s">
        <v>914</v>
      </c>
      <c r="C59" s="364" t="s">
        <v>622</v>
      </c>
      <c r="D59" s="364" t="s">
        <v>623</v>
      </c>
      <c r="E59" s="364" t="s">
        <v>993</v>
      </c>
      <c r="F59" s="364">
        <v>1</v>
      </c>
      <c r="G59" s="364">
        <v>0</v>
      </c>
      <c r="H59" s="364">
        <v>0</v>
      </c>
      <c r="I59" s="364">
        <v>0</v>
      </c>
      <c r="J59" s="364">
        <v>0</v>
      </c>
      <c r="K59" s="364">
        <v>0</v>
      </c>
      <c r="L59" s="364">
        <v>0</v>
      </c>
      <c r="M59" s="364">
        <v>7</v>
      </c>
      <c r="N59" s="364">
        <v>35</v>
      </c>
      <c r="O59" s="364">
        <v>0</v>
      </c>
      <c r="P59" s="364">
        <v>0</v>
      </c>
      <c r="Q59" s="364">
        <v>0</v>
      </c>
      <c r="R59" s="364">
        <v>0</v>
      </c>
      <c r="S59" s="364">
        <v>0</v>
      </c>
      <c r="T59" s="364">
        <v>0</v>
      </c>
      <c r="U59" s="364">
        <v>0</v>
      </c>
      <c r="V59" s="364">
        <v>1</v>
      </c>
      <c r="W59" s="364">
        <v>35</v>
      </c>
      <c r="X59" s="364">
        <v>0</v>
      </c>
      <c r="Y59" s="364">
        <v>57919.4</v>
      </c>
      <c r="Z59" s="364"/>
      <c r="AA59" s="364"/>
    </row>
    <row r="60" spans="2:27" x14ac:dyDescent="0.25">
      <c r="B60" s="364" t="s">
        <v>914</v>
      </c>
      <c r="C60" s="364" t="s">
        <v>458</v>
      </c>
      <c r="D60" s="364" t="s">
        <v>459</v>
      </c>
      <c r="E60" s="364" t="s">
        <v>994</v>
      </c>
      <c r="F60" s="364">
        <v>1</v>
      </c>
      <c r="G60" s="364">
        <v>0</v>
      </c>
      <c r="H60" s="364">
        <v>0</v>
      </c>
      <c r="I60" s="364">
        <v>0</v>
      </c>
      <c r="J60" s="364">
        <v>0</v>
      </c>
      <c r="K60" s="364">
        <v>0</v>
      </c>
      <c r="L60" s="364">
        <v>0</v>
      </c>
      <c r="M60" s="364">
        <v>7</v>
      </c>
      <c r="N60" s="364">
        <v>35</v>
      </c>
      <c r="O60" s="364">
        <v>0</v>
      </c>
      <c r="P60" s="364">
        <v>0</v>
      </c>
      <c r="Q60" s="364">
        <v>0</v>
      </c>
      <c r="R60" s="364">
        <v>0</v>
      </c>
      <c r="S60" s="364">
        <v>0</v>
      </c>
      <c r="T60" s="364">
        <v>0</v>
      </c>
      <c r="U60" s="364">
        <v>0</v>
      </c>
      <c r="V60" s="364">
        <v>1</v>
      </c>
      <c r="W60" s="364">
        <v>35</v>
      </c>
      <c r="X60" s="364">
        <v>0</v>
      </c>
      <c r="Y60" s="364">
        <v>42495.69</v>
      </c>
      <c r="Z60" s="364"/>
      <c r="AA60" s="364"/>
    </row>
    <row r="61" spans="2:27" x14ac:dyDescent="0.25">
      <c r="B61" s="364" t="s">
        <v>914</v>
      </c>
      <c r="C61" s="364" t="s">
        <v>630</v>
      </c>
      <c r="D61" s="364" t="s">
        <v>631</v>
      </c>
      <c r="E61" s="364" t="s">
        <v>995</v>
      </c>
      <c r="F61" s="364">
        <v>1</v>
      </c>
      <c r="G61" s="364">
        <v>0</v>
      </c>
      <c r="H61" s="364">
        <v>0</v>
      </c>
      <c r="I61" s="364">
        <v>0</v>
      </c>
      <c r="J61" s="364">
        <v>0</v>
      </c>
      <c r="K61" s="364">
        <v>0</v>
      </c>
      <c r="L61" s="364">
        <v>0</v>
      </c>
      <c r="M61" s="364">
        <v>7</v>
      </c>
      <c r="N61" s="364">
        <v>35</v>
      </c>
      <c r="O61" s="364">
        <v>0</v>
      </c>
      <c r="P61" s="364">
        <v>0</v>
      </c>
      <c r="Q61" s="364">
        <v>0</v>
      </c>
      <c r="R61" s="364">
        <v>0</v>
      </c>
      <c r="S61" s="364">
        <v>0</v>
      </c>
      <c r="T61" s="364">
        <v>0</v>
      </c>
      <c r="U61" s="364">
        <v>0</v>
      </c>
      <c r="V61" s="364">
        <v>1</v>
      </c>
      <c r="W61" s="364">
        <v>35</v>
      </c>
      <c r="X61" s="364">
        <v>0</v>
      </c>
      <c r="Y61" s="364">
        <v>47819.06</v>
      </c>
      <c r="Z61" s="364"/>
      <c r="AA61" s="364"/>
    </row>
    <row r="62" spans="2:27" x14ac:dyDescent="0.25">
      <c r="B62" s="364" t="s">
        <v>914</v>
      </c>
      <c r="C62" s="364" t="s">
        <v>598</v>
      </c>
      <c r="D62" s="364" t="s">
        <v>599</v>
      </c>
      <c r="E62" s="364" t="s">
        <v>996</v>
      </c>
      <c r="F62" s="364">
        <v>1</v>
      </c>
      <c r="G62" s="364">
        <v>0</v>
      </c>
      <c r="H62" s="364">
        <v>0</v>
      </c>
      <c r="I62" s="364">
        <v>0</v>
      </c>
      <c r="J62" s="364">
        <v>0</v>
      </c>
      <c r="K62" s="364">
        <v>0</v>
      </c>
      <c r="L62" s="364">
        <v>0</v>
      </c>
      <c r="M62" s="364">
        <v>7</v>
      </c>
      <c r="N62" s="364">
        <v>35</v>
      </c>
      <c r="O62" s="364">
        <v>0</v>
      </c>
      <c r="P62" s="364">
        <v>0</v>
      </c>
      <c r="Q62" s="364">
        <v>0</v>
      </c>
      <c r="R62" s="364">
        <v>0</v>
      </c>
      <c r="S62" s="364">
        <v>0</v>
      </c>
      <c r="T62" s="364">
        <v>0</v>
      </c>
      <c r="U62" s="364">
        <v>0</v>
      </c>
      <c r="V62" s="364">
        <v>1</v>
      </c>
      <c r="W62" s="364">
        <v>35</v>
      </c>
      <c r="X62" s="364">
        <v>0</v>
      </c>
      <c r="Y62" s="364">
        <v>47579.06</v>
      </c>
      <c r="Z62" s="364"/>
      <c r="AA62" s="364"/>
    </row>
    <row r="63" spans="2:27" x14ac:dyDescent="0.25">
      <c r="B63" s="364" t="s">
        <v>914</v>
      </c>
      <c r="C63" s="364" t="s">
        <v>638</v>
      </c>
      <c r="D63" s="364" t="s">
        <v>639</v>
      </c>
      <c r="E63" s="364" t="s">
        <v>997</v>
      </c>
      <c r="F63" s="364">
        <v>1</v>
      </c>
      <c r="G63" s="364">
        <v>0</v>
      </c>
      <c r="H63" s="364">
        <v>0</v>
      </c>
      <c r="I63" s="364">
        <v>0</v>
      </c>
      <c r="J63" s="364">
        <v>0</v>
      </c>
      <c r="K63" s="364">
        <v>0</v>
      </c>
      <c r="L63" s="364">
        <v>0</v>
      </c>
      <c r="M63" s="364">
        <v>7</v>
      </c>
      <c r="N63" s="364">
        <v>35</v>
      </c>
      <c r="O63" s="364">
        <v>0</v>
      </c>
      <c r="P63" s="364">
        <v>0</v>
      </c>
      <c r="Q63" s="364">
        <v>0</v>
      </c>
      <c r="R63" s="364">
        <v>0</v>
      </c>
      <c r="S63" s="364">
        <v>0</v>
      </c>
      <c r="T63" s="364">
        <v>0</v>
      </c>
      <c r="U63" s="364">
        <v>0</v>
      </c>
      <c r="V63" s="364">
        <v>1</v>
      </c>
      <c r="W63" s="364">
        <v>35</v>
      </c>
      <c r="X63" s="364">
        <v>0</v>
      </c>
      <c r="Y63" s="364">
        <v>47579.06</v>
      </c>
      <c r="Z63" s="364"/>
      <c r="AA63" s="364"/>
    </row>
    <row r="64" spans="2:27" x14ac:dyDescent="0.25">
      <c r="B64" s="364" t="s">
        <v>914</v>
      </c>
      <c r="C64" s="364" t="s">
        <v>454</v>
      </c>
      <c r="D64" s="364" t="s">
        <v>455</v>
      </c>
      <c r="E64" s="364" t="s">
        <v>998</v>
      </c>
      <c r="F64" s="364">
        <v>1</v>
      </c>
      <c r="G64" s="364">
        <v>0</v>
      </c>
      <c r="H64" s="364">
        <v>0</v>
      </c>
      <c r="I64" s="364">
        <v>0</v>
      </c>
      <c r="J64" s="364">
        <v>0</v>
      </c>
      <c r="K64" s="364">
        <v>0</v>
      </c>
      <c r="L64" s="364">
        <v>0</v>
      </c>
      <c r="M64" s="364">
        <v>7</v>
      </c>
      <c r="N64" s="364">
        <v>35</v>
      </c>
      <c r="O64" s="364">
        <v>0</v>
      </c>
      <c r="P64" s="364">
        <v>0</v>
      </c>
      <c r="Q64" s="364">
        <v>0</v>
      </c>
      <c r="R64" s="364">
        <v>0</v>
      </c>
      <c r="S64" s="364">
        <v>0</v>
      </c>
      <c r="T64" s="364">
        <v>0</v>
      </c>
      <c r="U64" s="364">
        <v>0</v>
      </c>
      <c r="V64" s="364">
        <v>1</v>
      </c>
      <c r="W64" s="364">
        <v>35</v>
      </c>
      <c r="X64" s="364">
        <v>0</v>
      </c>
      <c r="Y64" s="364">
        <v>41417.93</v>
      </c>
      <c r="Z64" s="364"/>
      <c r="AA64" s="364"/>
    </row>
    <row r="65" spans="2:27" x14ac:dyDescent="0.25">
      <c r="B65" s="364" t="s">
        <v>914</v>
      </c>
      <c r="C65" s="364" t="s">
        <v>448</v>
      </c>
      <c r="D65" s="364" t="s">
        <v>449</v>
      </c>
      <c r="E65" s="364" t="s">
        <v>999</v>
      </c>
      <c r="F65" s="364">
        <v>1</v>
      </c>
      <c r="G65" s="364">
        <v>0</v>
      </c>
      <c r="H65" s="364">
        <v>0</v>
      </c>
      <c r="I65" s="364">
        <v>0</v>
      </c>
      <c r="J65" s="364">
        <v>0</v>
      </c>
      <c r="K65" s="364">
        <v>0</v>
      </c>
      <c r="L65" s="364">
        <v>0</v>
      </c>
      <c r="M65" s="364">
        <v>7</v>
      </c>
      <c r="N65" s="364">
        <v>35</v>
      </c>
      <c r="O65" s="364">
        <v>0</v>
      </c>
      <c r="P65" s="364">
        <v>0</v>
      </c>
      <c r="Q65" s="364">
        <v>0</v>
      </c>
      <c r="R65" s="364">
        <v>0</v>
      </c>
      <c r="S65" s="364">
        <v>0</v>
      </c>
      <c r="T65" s="364">
        <v>0</v>
      </c>
      <c r="U65" s="364">
        <v>0</v>
      </c>
      <c r="V65" s="364">
        <v>1</v>
      </c>
      <c r="W65" s="364">
        <v>35</v>
      </c>
      <c r="X65" s="364">
        <v>0</v>
      </c>
      <c r="Y65" s="364">
        <v>41618.51</v>
      </c>
      <c r="Z65" s="364"/>
      <c r="AA65" s="364"/>
    </row>
    <row r="66" spans="2:27" x14ac:dyDescent="0.25">
      <c r="B66" s="364" t="s">
        <v>914</v>
      </c>
      <c r="C66" s="364" t="s">
        <v>416</v>
      </c>
      <c r="D66" s="364" t="s">
        <v>417</v>
      </c>
      <c r="E66" s="364" t="s">
        <v>1000</v>
      </c>
      <c r="F66" s="364">
        <v>1</v>
      </c>
      <c r="G66" s="364">
        <v>0</v>
      </c>
      <c r="H66" s="364">
        <v>0</v>
      </c>
      <c r="I66" s="364">
        <v>0</v>
      </c>
      <c r="J66" s="364">
        <v>0</v>
      </c>
      <c r="K66" s="364">
        <v>0</v>
      </c>
      <c r="L66" s="364">
        <v>0</v>
      </c>
      <c r="M66" s="364">
        <v>7</v>
      </c>
      <c r="N66" s="364">
        <v>35</v>
      </c>
      <c r="O66" s="364">
        <v>0</v>
      </c>
      <c r="P66" s="364">
        <v>0</v>
      </c>
      <c r="Q66" s="364">
        <v>0</v>
      </c>
      <c r="R66" s="364">
        <v>0</v>
      </c>
      <c r="S66" s="364">
        <v>0</v>
      </c>
      <c r="T66" s="364">
        <v>0</v>
      </c>
      <c r="U66" s="364">
        <v>0</v>
      </c>
      <c r="V66" s="364">
        <v>1</v>
      </c>
      <c r="W66" s="364">
        <v>35</v>
      </c>
      <c r="X66" s="364">
        <v>0</v>
      </c>
      <c r="Y66" s="364">
        <v>40949.96</v>
      </c>
      <c r="Z66" s="364"/>
      <c r="AA66" s="364"/>
    </row>
    <row r="67" spans="2:27" x14ac:dyDescent="0.25">
      <c r="B67" s="364" t="s">
        <v>914</v>
      </c>
      <c r="C67" s="364" t="s">
        <v>654</v>
      </c>
      <c r="D67" s="364" t="s">
        <v>655</v>
      </c>
      <c r="E67" s="364" t="s">
        <v>1001</v>
      </c>
      <c r="F67" s="364">
        <v>1</v>
      </c>
      <c r="G67" s="364">
        <v>0</v>
      </c>
      <c r="H67" s="364">
        <v>0</v>
      </c>
      <c r="I67" s="364">
        <v>0</v>
      </c>
      <c r="J67" s="364">
        <v>0</v>
      </c>
      <c r="K67" s="364">
        <v>0</v>
      </c>
      <c r="L67" s="364">
        <v>0</v>
      </c>
      <c r="M67" s="364">
        <v>7</v>
      </c>
      <c r="N67" s="364">
        <v>35</v>
      </c>
      <c r="O67" s="364">
        <v>0</v>
      </c>
      <c r="P67" s="364">
        <v>0</v>
      </c>
      <c r="Q67" s="364">
        <v>0</v>
      </c>
      <c r="R67" s="364">
        <v>0</v>
      </c>
      <c r="S67" s="364">
        <v>0</v>
      </c>
      <c r="T67" s="364">
        <v>0</v>
      </c>
      <c r="U67" s="364">
        <v>0</v>
      </c>
      <c r="V67" s="364">
        <v>1</v>
      </c>
      <c r="W67" s="364">
        <v>35</v>
      </c>
      <c r="X67" s="364">
        <v>0</v>
      </c>
      <c r="Y67" s="364">
        <v>47819.06</v>
      </c>
      <c r="Z67" s="364"/>
      <c r="AA67" s="364"/>
    </row>
    <row r="68" spans="2:27" x14ac:dyDescent="0.25">
      <c r="B68" s="364" t="s">
        <v>914</v>
      </c>
      <c r="C68" s="364" t="s">
        <v>656</v>
      </c>
      <c r="D68" s="364" t="s">
        <v>657</v>
      </c>
      <c r="E68" s="364" t="s">
        <v>1002</v>
      </c>
      <c r="F68" s="364">
        <v>1</v>
      </c>
      <c r="G68" s="364">
        <v>0</v>
      </c>
      <c r="H68" s="364">
        <v>0</v>
      </c>
      <c r="I68" s="364">
        <v>0</v>
      </c>
      <c r="J68" s="364">
        <v>0</v>
      </c>
      <c r="K68" s="364">
        <v>0</v>
      </c>
      <c r="L68" s="364">
        <v>0</v>
      </c>
      <c r="M68" s="364">
        <v>7</v>
      </c>
      <c r="N68" s="364">
        <v>35</v>
      </c>
      <c r="O68" s="364">
        <v>0</v>
      </c>
      <c r="P68" s="364">
        <v>0</v>
      </c>
      <c r="Q68" s="364">
        <v>0</v>
      </c>
      <c r="R68" s="364">
        <v>0</v>
      </c>
      <c r="S68" s="364">
        <v>0</v>
      </c>
      <c r="T68" s="364">
        <v>0</v>
      </c>
      <c r="U68" s="364">
        <v>0</v>
      </c>
      <c r="V68" s="364">
        <v>1</v>
      </c>
      <c r="W68" s="364">
        <v>35</v>
      </c>
      <c r="X68" s="364">
        <v>0</v>
      </c>
      <c r="Y68" s="364">
        <v>47579.06</v>
      </c>
      <c r="Z68" s="364"/>
      <c r="AA68" s="364"/>
    </row>
    <row r="69" spans="2:27" x14ac:dyDescent="0.25">
      <c r="B69" s="364" t="s">
        <v>914</v>
      </c>
      <c r="C69" s="364" t="s">
        <v>395</v>
      </c>
      <c r="D69" s="364" t="s">
        <v>396</v>
      </c>
      <c r="E69" s="364" t="s">
        <v>1003</v>
      </c>
      <c r="F69" s="364">
        <v>1</v>
      </c>
      <c r="G69" s="364">
        <v>0</v>
      </c>
      <c r="H69" s="364">
        <v>0</v>
      </c>
      <c r="I69" s="364">
        <v>0</v>
      </c>
      <c r="J69" s="364">
        <v>0</v>
      </c>
      <c r="K69" s="364">
        <v>0</v>
      </c>
      <c r="L69" s="364">
        <v>0</v>
      </c>
      <c r="M69" s="364">
        <v>7</v>
      </c>
      <c r="N69" s="364">
        <v>35</v>
      </c>
      <c r="O69" s="364">
        <v>0</v>
      </c>
      <c r="P69" s="364">
        <v>0</v>
      </c>
      <c r="Q69" s="364">
        <v>0</v>
      </c>
      <c r="R69" s="364">
        <v>0</v>
      </c>
      <c r="S69" s="364">
        <v>0</v>
      </c>
      <c r="T69" s="364">
        <v>0</v>
      </c>
      <c r="U69" s="364">
        <v>0</v>
      </c>
      <c r="V69" s="364">
        <v>1</v>
      </c>
      <c r="W69" s="364">
        <v>35</v>
      </c>
      <c r="X69" s="364">
        <v>0</v>
      </c>
      <c r="Y69" s="364">
        <v>40647.61</v>
      </c>
      <c r="Z69" s="364"/>
      <c r="AA69" s="364"/>
    </row>
    <row r="70" spans="2:27" x14ac:dyDescent="0.25">
      <c r="B70" s="364" t="s">
        <v>914</v>
      </c>
      <c r="C70" s="364" t="s">
        <v>726</v>
      </c>
      <c r="D70" s="364" t="s">
        <v>727</v>
      </c>
      <c r="E70" s="364" t="s">
        <v>1004</v>
      </c>
      <c r="F70" s="364">
        <v>1</v>
      </c>
      <c r="G70" s="364">
        <v>0</v>
      </c>
      <c r="H70" s="364">
        <v>0</v>
      </c>
      <c r="I70" s="364">
        <v>0</v>
      </c>
      <c r="J70" s="364">
        <v>0</v>
      </c>
      <c r="K70" s="364">
        <v>0</v>
      </c>
      <c r="L70" s="364">
        <v>0</v>
      </c>
      <c r="M70" s="364">
        <v>7</v>
      </c>
      <c r="N70" s="364">
        <v>35</v>
      </c>
      <c r="O70" s="364">
        <v>0</v>
      </c>
      <c r="P70" s="364">
        <v>0</v>
      </c>
      <c r="Q70" s="364">
        <v>0</v>
      </c>
      <c r="R70" s="364">
        <v>0</v>
      </c>
      <c r="S70" s="364">
        <v>0</v>
      </c>
      <c r="T70" s="364">
        <v>0</v>
      </c>
      <c r="U70" s="364">
        <v>0</v>
      </c>
      <c r="V70" s="364">
        <v>1</v>
      </c>
      <c r="W70" s="364">
        <v>35</v>
      </c>
      <c r="X70" s="364">
        <v>0</v>
      </c>
      <c r="Y70" s="364">
        <v>52094.1</v>
      </c>
      <c r="Z70" s="364"/>
      <c r="AA70" s="364"/>
    </row>
    <row r="71" spans="2:27" x14ac:dyDescent="0.25">
      <c r="B71" s="364" t="s">
        <v>914</v>
      </c>
      <c r="C71" s="364" t="s">
        <v>311</v>
      </c>
      <c r="D71" s="364" t="s">
        <v>312</v>
      </c>
      <c r="E71" s="364" t="s">
        <v>1005</v>
      </c>
      <c r="F71" s="364">
        <v>1</v>
      </c>
      <c r="G71" s="364">
        <v>0</v>
      </c>
      <c r="H71" s="364">
        <v>0</v>
      </c>
      <c r="I71" s="364">
        <v>0</v>
      </c>
      <c r="J71" s="364">
        <v>0</v>
      </c>
      <c r="K71" s="364">
        <v>0</v>
      </c>
      <c r="L71" s="364">
        <v>0</v>
      </c>
      <c r="M71" s="364">
        <v>7</v>
      </c>
      <c r="N71" s="364">
        <v>35</v>
      </c>
      <c r="O71" s="364">
        <v>0</v>
      </c>
      <c r="P71" s="364">
        <v>0</v>
      </c>
      <c r="Q71" s="364">
        <v>0</v>
      </c>
      <c r="R71" s="364">
        <v>0</v>
      </c>
      <c r="S71" s="364">
        <v>0</v>
      </c>
      <c r="T71" s="364">
        <v>0</v>
      </c>
      <c r="U71" s="364">
        <v>0</v>
      </c>
      <c r="V71" s="364">
        <v>1</v>
      </c>
      <c r="W71" s="364">
        <v>35</v>
      </c>
      <c r="X71" s="364">
        <v>0</v>
      </c>
      <c r="Y71" s="364">
        <v>47579.06</v>
      </c>
      <c r="Z71" s="364"/>
      <c r="AA71" s="364"/>
    </row>
    <row r="72" spans="2:27" x14ac:dyDescent="0.25">
      <c r="B72" s="364" t="s">
        <v>914</v>
      </c>
      <c r="C72" s="364" t="s">
        <v>527</v>
      </c>
      <c r="D72" s="364" t="s">
        <v>528</v>
      </c>
      <c r="E72" s="364" t="s">
        <v>1006</v>
      </c>
      <c r="F72" s="364">
        <v>1</v>
      </c>
      <c r="G72" s="364">
        <v>0</v>
      </c>
      <c r="H72" s="364">
        <v>0</v>
      </c>
      <c r="I72" s="364">
        <v>0</v>
      </c>
      <c r="J72" s="364">
        <v>0</v>
      </c>
      <c r="K72" s="364">
        <v>0</v>
      </c>
      <c r="L72" s="364">
        <v>0</v>
      </c>
      <c r="M72" s="364">
        <v>7</v>
      </c>
      <c r="N72" s="364">
        <v>35</v>
      </c>
      <c r="O72" s="364">
        <v>0</v>
      </c>
      <c r="P72" s="364">
        <v>0</v>
      </c>
      <c r="Q72" s="364">
        <v>0</v>
      </c>
      <c r="R72" s="364">
        <v>0</v>
      </c>
      <c r="S72" s="364">
        <v>0</v>
      </c>
      <c r="T72" s="364">
        <v>0</v>
      </c>
      <c r="U72" s="364">
        <v>0</v>
      </c>
      <c r="V72" s="364">
        <v>1</v>
      </c>
      <c r="W72" s="364">
        <v>35</v>
      </c>
      <c r="X72" s="364">
        <v>0</v>
      </c>
      <c r="Y72" s="364">
        <v>47542.6</v>
      </c>
      <c r="Z72" s="364"/>
      <c r="AA72" s="364"/>
    </row>
    <row r="73" spans="2:27" x14ac:dyDescent="0.25">
      <c r="B73" s="364" t="s">
        <v>914</v>
      </c>
      <c r="C73" s="364" t="s">
        <v>531</v>
      </c>
      <c r="D73" s="364" t="s">
        <v>532</v>
      </c>
      <c r="E73" s="364" t="s">
        <v>1377</v>
      </c>
      <c r="F73" s="364">
        <v>1</v>
      </c>
      <c r="G73" s="364">
        <v>0</v>
      </c>
      <c r="H73" s="364">
        <v>0</v>
      </c>
      <c r="I73" s="364">
        <v>0</v>
      </c>
      <c r="J73" s="364">
        <v>0</v>
      </c>
      <c r="K73" s="364">
        <v>0</v>
      </c>
      <c r="L73" s="364">
        <v>0</v>
      </c>
      <c r="M73" s="364">
        <v>7</v>
      </c>
      <c r="N73" s="364">
        <v>35</v>
      </c>
      <c r="O73" s="364">
        <v>0</v>
      </c>
      <c r="P73" s="364">
        <v>0</v>
      </c>
      <c r="Q73" s="364">
        <v>0</v>
      </c>
      <c r="R73" s="364">
        <v>0</v>
      </c>
      <c r="S73" s="364">
        <v>0</v>
      </c>
      <c r="T73" s="364">
        <v>0</v>
      </c>
      <c r="U73" s="364">
        <v>0</v>
      </c>
      <c r="V73" s="364">
        <v>1</v>
      </c>
      <c r="W73" s="364">
        <v>35</v>
      </c>
      <c r="X73" s="364">
        <v>0</v>
      </c>
      <c r="Y73" s="364">
        <v>47433.22</v>
      </c>
      <c r="Z73" s="364"/>
      <c r="AA73" s="364"/>
    </row>
    <row r="74" spans="2:27" x14ac:dyDescent="0.25">
      <c r="B74" s="364" t="s">
        <v>914</v>
      </c>
      <c r="C74" s="364" t="s">
        <v>547</v>
      </c>
      <c r="D74" s="364" t="s">
        <v>548</v>
      </c>
      <c r="E74" s="364" t="s">
        <v>1007</v>
      </c>
      <c r="F74" s="364">
        <v>1</v>
      </c>
      <c r="G74" s="364">
        <v>0</v>
      </c>
      <c r="H74" s="364">
        <v>0</v>
      </c>
      <c r="I74" s="364">
        <v>0</v>
      </c>
      <c r="J74" s="364">
        <v>0</v>
      </c>
      <c r="K74" s="364">
        <v>0</v>
      </c>
      <c r="L74" s="364">
        <v>0</v>
      </c>
      <c r="M74" s="364">
        <v>7</v>
      </c>
      <c r="N74" s="364">
        <v>35</v>
      </c>
      <c r="O74" s="364">
        <v>0</v>
      </c>
      <c r="P74" s="364">
        <v>0</v>
      </c>
      <c r="Q74" s="364">
        <v>0</v>
      </c>
      <c r="R74" s="364">
        <v>0</v>
      </c>
      <c r="S74" s="364">
        <v>0</v>
      </c>
      <c r="T74" s="364">
        <v>0</v>
      </c>
      <c r="U74" s="364">
        <v>0</v>
      </c>
      <c r="V74" s="364">
        <v>1</v>
      </c>
      <c r="W74" s="364">
        <v>35</v>
      </c>
      <c r="X74" s="364">
        <v>0</v>
      </c>
      <c r="Y74" s="364">
        <v>47360.3</v>
      </c>
      <c r="Z74" s="364"/>
      <c r="AA74" s="364"/>
    </row>
    <row r="75" spans="2:27" x14ac:dyDescent="0.25">
      <c r="B75" s="364" t="s">
        <v>914</v>
      </c>
      <c r="C75" s="364" t="s">
        <v>422</v>
      </c>
      <c r="D75" s="364" t="s">
        <v>423</v>
      </c>
      <c r="E75" s="364" t="s">
        <v>1008</v>
      </c>
      <c r="F75" s="364">
        <v>1</v>
      </c>
      <c r="G75" s="364">
        <v>0</v>
      </c>
      <c r="H75" s="364">
        <v>0</v>
      </c>
      <c r="I75" s="364">
        <v>0</v>
      </c>
      <c r="J75" s="364">
        <v>0</v>
      </c>
      <c r="K75" s="364">
        <v>0</v>
      </c>
      <c r="L75" s="364">
        <v>0</v>
      </c>
      <c r="M75" s="364">
        <v>7</v>
      </c>
      <c r="N75" s="364">
        <v>35</v>
      </c>
      <c r="O75" s="364">
        <v>0</v>
      </c>
      <c r="P75" s="364">
        <v>0</v>
      </c>
      <c r="Q75" s="364">
        <v>0</v>
      </c>
      <c r="R75" s="364">
        <v>0</v>
      </c>
      <c r="S75" s="364">
        <v>0</v>
      </c>
      <c r="T75" s="364">
        <v>0</v>
      </c>
      <c r="U75" s="364">
        <v>0</v>
      </c>
      <c r="V75" s="364">
        <v>1</v>
      </c>
      <c r="W75" s="364">
        <v>35</v>
      </c>
      <c r="X75" s="364">
        <v>0</v>
      </c>
      <c r="Y75" s="364">
        <v>40869.31</v>
      </c>
      <c r="Z75" s="364"/>
      <c r="AA75" s="364"/>
    </row>
    <row r="76" spans="2:27" x14ac:dyDescent="0.25">
      <c r="B76" s="364" t="s">
        <v>914</v>
      </c>
      <c r="C76" s="364" t="s">
        <v>414</v>
      </c>
      <c r="D76" s="364" t="s">
        <v>415</v>
      </c>
      <c r="E76" s="364" t="s">
        <v>1009</v>
      </c>
      <c r="F76" s="364">
        <v>1</v>
      </c>
      <c r="G76" s="364">
        <v>0</v>
      </c>
      <c r="H76" s="364">
        <v>0</v>
      </c>
      <c r="I76" s="364">
        <v>0</v>
      </c>
      <c r="J76" s="364">
        <v>0</v>
      </c>
      <c r="K76" s="364">
        <v>0</v>
      </c>
      <c r="L76" s="364">
        <v>0</v>
      </c>
      <c r="M76" s="364">
        <v>7</v>
      </c>
      <c r="N76" s="364">
        <v>35</v>
      </c>
      <c r="O76" s="364">
        <v>0</v>
      </c>
      <c r="P76" s="364">
        <v>0</v>
      </c>
      <c r="Q76" s="364">
        <v>0</v>
      </c>
      <c r="R76" s="364">
        <v>0</v>
      </c>
      <c r="S76" s="364">
        <v>0</v>
      </c>
      <c r="T76" s="364">
        <v>0</v>
      </c>
      <c r="U76" s="364">
        <v>0</v>
      </c>
      <c r="V76" s="364">
        <v>1</v>
      </c>
      <c r="W76" s="364">
        <v>35</v>
      </c>
      <c r="X76" s="364">
        <v>0</v>
      </c>
      <c r="Y76" s="364">
        <v>40669.31</v>
      </c>
      <c r="Z76" s="364"/>
      <c r="AA76" s="364"/>
    </row>
    <row r="77" spans="2:27" x14ac:dyDescent="0.25">
      <c r="B77" s="364" t="s">
        <v>914</v>
      </c>
      <c r="C77" s="364" t="s">
        <v>557</v>
      </c>
      <c r="D77" s="364" t="s">
        <v>558</v>
      </c>
      <c r="E77" s="364" t="s">
        <v>1010</v>
      </c>
      <c r="F77" s="364">
        <v>1</v>
      </c>
      <c r="G77" s="364">
        <v>0</v>
      </c>
      <c r="H77" s="364">
        <v>0</v>
      </c>
      <c r="I77" s="364">
        <v>0</v>
      </c>
      <c r="J77" s="364">
        <v>0</v>
      </c>
      <c r="K77" s="364">
        <v>0</v>
      </c>
      <c r="L77" s="364">
        <v>0</v>
      </c>
      <c r="M77" s="364">
        <v>7</v>
      </c>
      <c r="N77" s="364">
        <v>35</v>
      </c>
      <c r="O77" s="364">
        <v>0</v>
      </c>
      <c r="P77" s="364">
        <v>0</v>
      </c>
      <c r="Q77" s="364">
        <v>0</v>
      </c>
      <c r="R77" s="364">
        <v>0</v>
      </c>
      <c r="S77" s="364">
        <v>0</v>
      </c>
      <c r="T77" s="364">
        <v>0</v>
      </c>
      <c r="U77" s="364">
        <v>0</v>
      </c>
      <c r="V77" s="364">
        <v>1</v>
      </c>
      <c r="W77" s="364">
        <v>35</v>
      </c>
      <c r="X77" s="364">
        <v>0</v>
      </c>
      <c r="Y77" s="364">
        <v>47323.83</v>
      </c>
      <c r="Z77" s="364"/>
      <c r="AA77" s="364"/>
    </row>
    <row r="78" spans="2:27" x14ac:dyDescent="0.25">
      <c r="B78" s="364" t="s">
        <v>914</v>
      </c>
      <c r="C78" s="364" t="s">
        <v>559</v>
      </c>
      <c r="D78" s="364" t="s">
        <v>560</v>
      </c>
      <c r="E78" s="364" t="s">
        <v>1011</v>
      </c>
      <c r="F78" s="364">
        <v>1</v>
      </c>
      <c r="G78" s="364">
        <v>0</v>
      </c>
      <c r="H78" s="364">
        <v>0</v>
      </c>
      <c r="I78" s="364">
        <v>0</v>
      </c>
      <c r="J78" s="364">
        <v>0</v>
      </c>
      <c r="K78" s="364">
        <v>0</v>
      </c>
      <c r="L78" s="364">
        <v>0</v>
      </c>
      <c r="M78" s="364">
        <v>7</v>
      </c>
      <c r="N78" s="364">
        <v>35</v>
      </c>
      <c r="O78" s="364">
        <v>0</v>
      </c>
      <c r="P78" s="364">
        <v>0</v>
      </c>
      <c r="Q78" s="364">
        <v>0</v>
      </c>
      <c r="R78" s="364">
        <v>0</v>
      </c>
      <c r="S78" s="364">
        <v>0</v>
      </c>
      <c r="T78" s="364">
        <v>0</v>
      </c>
      <c r="U78" s="364">
        <v>0</v>
      </c>
      <c r="V78" s="364">
        <v>1</v>
      </c>
      <c r="W78" s="364">
        <v>35</v>
      </c>
      <c r="X78" s="364">
        <v>0</v>
      </c>
      <c r="Y78" s="364">
        <v>47360.3</v>
      </c>
      <c r="Z78" s="364"/>
      <c r="AA78" s="364"/>
    </row>
    <row r="79" spans="2:27" x14ac:dyDescent="0.25">
      <c r="B79" s="364" t="s">
        <v>914</v>
      </c>
      <c r="C79" s="364" t="s">
        <v>565</v>
      </c>
      <c r="D79" s="364" t="s">
        <v>566</v>
      </c>
      <c r="E79" s="364" t="s">
        <v>1012</v>
      </c>
      <c r="F79" s="364">
        <v>1</v>
      </c>
      <c r="G79" s="364">
        <v>0</v>
      </c>
      <c r="H79" s="364">
        <v>0</v>
      </c>
      <c r="I79" s="364">
        <v>0</v>
      </c>
      <c r="J79" s="364">
        <v>0</v>
      </c>
      <c r="K79" s="364">
        <v>0</v>
      </c>
      <c r="L79" s="364">
        <v>0</v>
      </c>
      <c r="M79" s="364">
        <v>7</v>
      </c>
      <c r="N79" s="364">
        <v>35</v>
      </c>
      <c r="O79" s="364">
        <v>0</v>
      </c>
      <c r="P79" s="364">
        <v>0</v>
      </c>
      <c r="Q79" s="364">
        <v>0</v>
      </c>
      <c r="R79" s="364">
        <v>0</v>
      </c>
      <c r="S79" s="364">
        <v>0</v>
      </c>
      <c r="T79" s="364">
        <v>0</v>
      </c>
      <c r="U79" s="364">
        <v>0</v>
      </c>
      <c r="V79" s="364">
        <v>1</v>
      </c>
      <c r="W79" s="364">
        <v>35</v>
      </c>
      <c r="X79" s="364">
        <v>0</v>
      </c>
      <c r="Y79" s="364">
        <v>48767.21</v>
      </c>
      <c r="Z79" s="364"/>
      <c r="AA79" s="364"/>
    </row>
    <row r="80" spans="2:27" x14ac:dyDescent="0.25">
      <c r="B80" s="364" t="s">
        <v>914</v>
      </c>
      <c r="C80" s="364" t="s">
        <v>569</v>
      </c>
      <c r="D80" s="364" t="s">
        <v>570</v>
      </c>
      <c r="E80" s="364" t="s">
        <v>1013</v>
      </c>
      <c r="F80" s="364">
        <v>1</v>
      </c>
      <c r="G80" s="364">
        <v>0</v>
      </c>
      <c r="H80" s="364">
        <v>0</v>
      </c>
      <c r="I80" s="364">
        <v>0</v>
      </c>
      <c r="J80" s="364">
        <v>0</v>
      </c>
      <c r="K80" s="364">
        <v>0</v>
      </c>
      <c r="L80" s="364">
        <v>0</v>
      </c>
      <c r="M80" s="364">
        <v>7</v>
      </c>
      <c r="N80" s="364">
        <v>35</v>
      </c>
      <c r="O80" s="364">
        <v>0</v>
      </c>
      <c r="P80" s="364">
        <v>0</v>
      </c>
      <c r="Q80" s="364">
        <v>0</v>
      </c>
      <c r="R80" s="364">
        <v>0</v>
      </c>
      <c r="S80" s="364">
        <v>0</v>
      </c>
      <c r="T80" s="364">
        <v>0</v>
      </c>
      <c r="U80" s="364">
        <v>0</v>
      </c>
      <c r="V80" s="364">
        <v>1</v>
      </c>
      <c r="W80" s="364">
        <v>35</v>
      </c>
      <c r="X80" s="364">
        <v>0</v>
      </c>
      <c r="Y80" s="364">
        <v>47323.83</v>
      </c>
      <c r="Z80" s="364"/>
      <c r="AA80" s="364"/>
    </row>
    <row r="81" spans="2:27" x14ac:dyDescent="0.25">
      <c r="B81" s="364" t="s">
        <v>914</v>
      </c>
      <c r="C81" s="364" t="s">
        <v>1014</v>
      </c>
      <c r="D81" s="364" t="s">
        <v>573</v>
      </c>
      <c r="E81" s="364" t="s">
        <v>1015</v>
      </c>
      <c r="F81" s="364">
        <v>1</v>
      </c>
      <c r="G81" s="364">
        <v>0</v>
      </c>
      <c r="H81" s="364">
        <v>0</v>
      </c>
      <c r="I81" s="364">
        <v>0</v>
      </c>
      <c r="J81" s="364">
        <v>0</v>
      </c>
      <c r="K81" s="364">
        <v>0</v>
      </c>
      <c r="L81" s="364">
        <v>0</v>
      </c>
      <c r="M81" s="364">
        <v>7</v>
      </c>
      <c r="N81" s="364">
        <v>35</v>
      </c>
      <c r="O81" s="364">
        <v>0</v>
      </c>
      <c r="P81" s="364">
        <v>0</v>
      </c>
      <c r="Q81" s="364">
        <v>0</v>
      </c>
      <c r="R81" s="364">
        <v>0</v>
      </c>
      <c r="S81" s="364">
        <v>0</v>
      </c>
      <c r="T81" s="364">
        <v>0</v>
      </c>
      <c r="U81" s="364">
        <v>0</v>
      </c>
      <c r="V81" s="364">
        <v>1</v>
      </c>
      <c r="W81" s="364">
        <v>35</v>
      </c>
      <c r="X81" s="364">
        <v>0</v>
      </c>
      <c r="Y81" s="364">
        <v>44408.88</v>
      </c>
      <c r="Z81" s="364"/>
      <c r="AA81" s="364"/>
    </row>
    <row r="82" spans="2:27" x14ac:dyDescent="0.25">
      <c r="B82" s="364" t="s">
        <v>914</v>
      </c>
      <c r="C82" s="364" t="s">
        <v>576</v>
      </c>
      <c r="D82" s="364" t="s">
        <v>577</v>
      </c>
      <c r="E82" s="364" t="s">
        <v>1016</v>
      </c>
      <c r="F82" s="364">
        <v>1</v>
      </c>
      <c r="G82" s="364">
        <v>0</v>
      </c>
      <c r="H82" s="364">
        <v>0</v>
      </c>
      <c r="I82" s="364">
        <v>0</v>
      </c>
      <c r="J82" s="364">
        <v>0</v>
      </c>
      <c r="K82" s="364">
        <v>0</v>
      </c>
      <c r="L82" s="364">
        <v>0</v>
      </c>
      <c r="M82" s="364">
        <v>7</v>
      </c>
      <c r="N82" s="364">
        <v>35</v>
      </c>
      <c r="O82" s="364">
        <v>0</v>
      </c>
      <c r="P82" s="364">
        <v>0</v>
      </c>
      <c r="Q82" s="364">
        <v>0</v>
      </c>
      <c r="R82" s="364">
        <v>0</v>
      </c>
      <c r="S82" s="364">
        <v>0</v>
      </c>
      <c r="T82" s="364">
        <v>0</v>
      </c>
      <c r="U82" s="364">
        <v>0</v>
      </c>
      <c r="V82" s="364">
        <v>1</v>
      </c>
      <c r="W82" s="364">
        <v>35</v>
      </c>
      <c r="X82" s="364">
        <v>0</v>
      </c>
      <c r="Y82" s="364">
        <v>44481.82</v>
      </c>
      <c r="Z82" s="364"/>
      <c r="AA82" s="364"/>
    </row>
    <row r="83" spans="2:27" x14ac:dyDescent="0.25">
      <c r="B83" s="364" t="s">
        <v>914</v>
      </c>
      <c r="C83" s="364" t="s">
        <v>578</v>
      </c>
      <c r="D83" s="364" t="s">
        <v>579</v>
      </c>
      <c r="E83" s="364" t="s">
        <v>1017</v>
      </c>
      <c r="F83" s="364">
        <v>1</v>
      </c>
      <c r="G83" s="364">
        <v>0</v>
      </c>
      <c r="H83" s="364">
        <v>0</v>
      </c>
      <c r="I83" s="364">
        <v>0</v>
      </c>
      <c r="J83" s="364">
        <v>0</v>
      </c>
      <c r="K83" s="364">
        <v>0</v>
      </c>
      <c r="L83" s="364">
        <v>0</v>
      </c>
      <c r="M83" s="364">
        <v>7</v>
      </c>
      <c r="N83" s="364">
        <v>35</v>
      </c>
      <c r="O83" s="364">
        <v>0</v>
      </c>
      <c r="P83" s="364">
        <v>0</v>
      </c>
      <c r="Q83" s="364">
        <v>0</v>
      </c>
      <c r="R83" s="364">
        <v>0</v>
      </c>
      <c r="S83" s="364">
        <v>0</v>
      </c>
      <c r="T83" s="364">
        <v>0</v>
      </c>
      <c r="U83" s="364">
        <v>0</v>
      </c>
      <c r="V83" s="364">
        <v>1</v>
      </c>
      <c r="W83" s="364">
        <v>35</v>
      </c>
      <c r="X83" s="364">
        <v>0</v>
      </c>
      <c r="Y83" s="364">
        <v>44445.35</v>
      </c>
      <c r="Z83" s="364"/>
      <c r="AA83" s="364"/>
    </row>
    <row r="84" spans="2:27" x14ac:dyDescent="0.25">
      <c r="B84" s="364" t="s">
        <v>914</v>
      </c>
      <c r="C84" s="364" t="s">
        <v>582</v>
      </c>
      <c r="D84" s="364" t="s">
        <v>583</v>
      </c>
      <c r="E84" s="364" t="s">
        <v>1018</v>
      </c>
      <c r="F84" s="364">
        <v>1</v>
      </c>
      <c r="G84" s="364">
        <v>0</v>
      </c>
      <c r="H84" s="364">
        <v>0</v>
      </c>
      <c r="I84" s="364">
        <v>0</v>
      </c>
      <c r="J84" s="364">
        <v>0</v>
      </c>
      <c r="K84" s="364">
        <v>0</v>
      </c>
      <c r="L84" s="364">
        <v>0</v>
      </c>
      <c r="M84" s="364">
        <v>7</v>
      </c>
      <c r="N84" s="364">
        <v>35</v>
      </c>
      <c r="O84" s="364">
        <v>0</v>
      </c>
      <c r="P84" s="364">
        <v>0</v>
      </c>
      <c r="Q84" s="364">
        <v>0</v>
      </c>
      <c r="R84" s="364">
        <v>0</v>
      </c>
      <c r="S84" s="364">
        <v>0</v>
      </c>
      <c r="T84" s="364">
        <v>0</v>
      </c>
      <c r="U84" s="364">
        <v>0</v>
      </c>
      <c r="V84" s="364">
        <v>1</v>
      </c>
      <c r="W84" s="364">
        <v>35</v>
      </c>
      <c r="X84" s="364">
        <v>0</v>
      </c>
      <c r="Y84" s="364">
        <v>47214.42</v>
      </c>
      <c r="Z84" s="364"/>
      <c r="AA84" s="364"/>
    </row>
    <row r="85" spans="2:27" x14ac:dyDescent="0.25">
      <c r="B85" s="364" t="s">
        <v>914</v>
      </c>
      <c r="C85" s="364" t="s">
        <v>537</v>
      </c>
      <c r="D85" s="364" t="s">
        <v>538</v>
      </c>
      <c r="E85" s="364" t="s">
        <v>1019</v>
      </c>
      <c r="F85" s="364">
        <v>1</v>
      </c>
      <c r="G85" s="364">
        <v>0</v>
      </c>
      <c r="H85" s="364">
        <v>0</v>
      </c>
      <c r="I85" s="364">
        <v>0</v>
      </c>
      <c r="J85" s="364">
        <v>0</v>
      </c>
      <c r="K85" s="364">
        <v>0</v>
      </c>
      <c r="L85" s="364">
        <v>0</v>
      </c>
      <c r="M85" s="364">
        <v>7</v>
      </c>
      <c r="N85" s="364">
        <v>35</v>
      </c>
      <c r="O85" s="364">
        <v>0</v>
      </c>
      <c r="P85" s="364">
        <v>0</v>
      </c>
      <c r="Q85" s="364">
        <v>0</v>
      </c>
      <c r="R85" s="364">
        <v>0</v>
      </c>
      <c r="S85" s="364">
        <v>0</v>
      </c>
      <c r="T85" s="364">
        <v>0</v>
      </c>
      <c r="U85" s="364">
        <v>0</v>
      </c>
      <c r="V85" s="364">
        <v>1</v>
      </c>
      <c r="W85" s="364">
        <v>35</v>
      </c>
      <c r="X85" s="364">
        <v>0</v>
      </c>
      <c r="Y85" s="364">
        <v>47177.95</v>
      </c>
      <c r="Z85" s="364"/>
      <c r="AA85" s="364"/>
    </row>
    <row r="86" spans="2:27" x14ac:dyDescent="0.25">
      <c r="B86" s="364" t="s">
        <v>914</v>
      </c>
      <c r="C86" s="364" t="s">
        <v>313</v>
      </c>
      <c r="D86" s="364" t="s">
        <v>314</v>
      </c>
      <c r="E86" s="364" t="s">
        <v>1020</v>
      </c>
      <c r="F86" s="364">
        <v>1</v>
      </c>
      <c r="G86" s="364">
        <v>0</v>
      </c>
      <c r="H86" s="364">
        <v>0</v>
      </c>
      <c r="I86" s="364">
        <v>0</v>
      </c>
      <c r="J86" s="364">
        <v>0</v>
      </c>
      <c r="K86" s="364">
        <v>0</v>
      </c>
      <c r="L86" s="364">
        <v>0</v>
      </c>
      <c r="M86" s="364">
        <v>7</v>
      </c>
      <c r="N86" s="364">
        <v>35</v>
      </c>
      <c r="O86" s="364">
        <v>0</v>
      </c>
      <c r="P86" s="364">
        <v>0</v>
      </c>
      <c r="Q86" s="364">
        <v>0</v>
      </c>
      <c r="R86" s="364">
        <v>0</v>
      </c>
      <c r="S86" s="364">
        <v>0</v>
      </c>
      <c r="T86" s="364">
        <v>0</v>
      </c>
      <c r="U86" s="364">
        <v>0</v>
      </c>
      <c r="V86" s="364">
        <v>1</v>
      </c>
      <c r="W86" s="364">
        <v>35</v>
      </c>
      <c r="X86" s="364">
        <v>0</v>
      </c>
      <c r="Y86" s="364">
        <v>16094.31</v>
      </c>
      <c r="Z86" s="364"/>
      <c r="AA86" s="364"/>
    </row>
    <row r="87" spans="2:27" x14ac:dyDescent="0.25">
      <c r="B87" s="364" t="s">
        <v>914</v>
      </c>
      <c r="C87" s="364" t="s">
        <v>402</v>
      </c>
      <c r="D87" s="364" t="s">
        <v>403</v>
      </c>
      <c r="E87" s="364" t="s">
        <v>1021</v>
      </c>
      <c r="F87" s="364">
        <v>1</v>
      </c>
      <c r="G87" s="364">
        <v>0</v>
      </c>
      <c r="H87" s="364">
        <v>0</v>
      </c>
      <c r="I87" s="364">
        <v>0</v>
      </c>
      <c r="J87" s="364">
        <v>0</v>
      </c>
      <c r="K87" s="364">
        <v>0</v>
      </c>
      <c r="L87" s="364">
        <v>0</v>
      </c>
      <c r="M87" s="364">
        <v>7</v>
      </c>
      <c r="N87" s="364">
        <v>35</v>
      </c>
      <c r="O87" s="364">
        <v>0</v>
      </c>
      <c r="P87" s="364">
        <v>0</v>
      </c>
      <c r="Q87" s="364">
        <v>0</v>
      </c>
      <c r="R87" s="364">
        <v>0</v>
      </c>
      <c r="S87" s="364">
        <v>0</v>
      </c>
      <c r="T87" s="364">
        <v>0</v>
      </c>
      <c r="U87" s="364">
        <v>0</v>
      </c>
      <c r="V87" s="364">
        <v>1</v>
      </c>
      <c r="W87" s="364">
        <v>35</v>
      </c>
      <c r="X87" s="364">
        <v>0</v>
      </c>
      <c r="Y87" s="364">
        <v>40473.949999999997</v>
      </c>
      <c r="Z87" s="364"/>
      <c r="AA87" s="364"/>
    </row>
    <row r="88" spans="2:27" x14ac:dyDescent="0.25">
      <c r="B88" s="364" t="s">
        <v>914</v>
      </c>
      <c r="C88" s="364" t="s">
        <v>533</v>
      </c>
      <c r="D88" s="364" t="s">
        <v>534</v>
      </c>
      <c r="E88" s="364" t="s">
        <v>1022</v>
      </c>
      <c r="F88" s="364">
        <v>1</v>
      </c>
      <c r="G88" s="364">
        <v>0</v>
      </c>
      <c r="H88" s="364">
        <v>0</v>
      </c>
      <c r="I88" s="364">
        <v>0</v>
      </c>
      <c r="J88" s="364">
        <v>0</v>
      </c>
      <c r="K88" s="364">
        <v>0</v>
      </c>
      <c r="L88" s="364">
        <v>0</v>
      </c>
      <c r="M88" s="364">
        <v>7</v>
      </c>
      <c r="N88" s="364">
        <v>35</v>
      </c>
      <c r="O88" s="364">
        <v>0</v>
      </c>
      <c r="P88" s="364">
        <v>0</v>
      </c>
      <c r="Q88" s="364">
        <v>0</v>
      </c>
      <c r="R88" s="364">
        <v>0</v>
      </c>
      <c r="S88" s="364">
        <v>0</v>
      </c>
      <c r="T88" s="364">
        <v>0</v>
      </c>
      <c r="U88" s="364">
        <v>0</v>
      </c>
      <c r="V88" s="364">
        <v>1</v>
      </c>
      <c r="W88" s="364">
        <v>35</v>
      </c>
      <c r="X88" s="364">
        <v>0</v>
      </c>
      <c r="Y88" s="364">
        <v>47341.48</v>
      </c>
      <c r="Z88" s="364"/>
      <c r="AA88" s="364"/>
    </row>
    <row r="89" spans="2:27" x14ac:dyDescent="0.25">
      <c r="B89" s="364" t="s">
        <v>914</v>
      </c>
      <c r="C89" s="364" t="s">
        <v>541</v>
      </c>
      <c r="D89" s="364" t="s">
        <v>542</v>
      </c>
      <c r="E89" s="364" t="s">
        <v>1023</v>
      </c>
      <c r="F89" s="364">
        <v>1</v>
      </c>
      <c r="G89" s="364">
        <v>0</v>
      </c>
      <c r="H89" s="364">
        <v>0</v>
      </c>
      <c r="I89" s="364">
        <v>0</v>
      </c>
      <c r="J89" s="364">
        <v>0</v>
      </c>
      <c r="K89" s="364">
        <v>0</v>
      </c>
      <c r="L89" s="364">
        <v>0</v>
      </c>
      <c r="M89" s="364">
        <v>7</v>
      </c>
      <c r="N89" s="364">
        <v>35</v>
      </c>
      <c r="O89" s="364">
        <v>0</v>
      </c>
      <c r="P89" s="364">
        <v>0</v>
      </c>
      <c r="Q89" s="364">
        <v>0</v>
      </c>
      <c r="R89" s="364">
        <v>0</v>
      </c>
      <c r="S89" s="364">
        <v>0</v>
      </c>
      <c r="T89" s="364">
        <v>0</v>
      </c>
      <c r="U89" s="364">
        <v>0</v>
      </c>
      <c r="V89" s="364">
        <v>1</v>
      </c>
      <c r="W89" s="364">
        <v>35</v>
      </c>
      <c r="X89" s="364">
        <v>0</v>
      </c>
      <c r="Y89" s="364">
        <v>47141.48</v>
      </c>
      <c r="Z89" s="364"/>
      <c r="AA89" s="364"/>
    </row>
    <row r="90" spans="2:27" x14ac:dyDescent="0.25">
      <c r="B90" s="364" t="s">
        <v>914</v>
      </c>
      <c r="C90" s="364" t="s">
        <v>539</v>
      </c>
      <c r="D90" s="364" t="s">
        <v>540</v>
      </c>
      <c r="E90" s="364" t="s">
        <v>1024</v>
      </c>
      <c r="F90" s="364">
        <v>1</v>
      </c>
      <c r="G90" s="364">
        <v>0</v>
      </c>
      <c r="H90" s="364">
        <v>0</v>
      </c>
      <c r="I90" s="364">
        <v>0</v>
      </c>
      <c r="J90" s="364">
        <v>0</v>
      </c>
      <c r="K90" s="364">
        <v>0</v>
      </c>
      <c r="L90" s="364">
        <v>0</v>
      </c>
      <c r="M90" s="364">
        <v>7</v>
      </c>
      <c r="N90" s="364">
        <v>35</v>
      </c>
      <c r="O90" s="364">
        <v>0</v>
      </c>
      <c r="P90" s="364">
        <v>0</v>
      </c>
      <c r="Q90" s="364">
        <v>0</v>
      </c>
      <c r="R90" s="364">
        <v>0</v>
      </c>
      <c r="S90" s="364">
        <v>0</v>
      </c>
      <c r="T90" s="364">
        <v>0</v>
      </c>
      <c r="U90" s="364">
        <v>0</v>
      </c>
      <c r="V90" s="364">
        <v>1</v>
      </c>
      <c r="W90" s="364">
        <v>35</v>
      </c>
      <c r="X90" s="364">
        <v>0</v>
      </c>
      <c r="Y90" s="364">
        <v>47141.48</v>
      </c>
      <c r="Z90" s="364"/>
      <c r="AA90" s="364"/>
    </row>
    <row r="91" spans="2:27" x14ac:dyDescent="0.25">
      <c r="B91" s="364" t="s">
        <v>914</v>
      </c>
      <c r="C91" s="364" t="s">
        <v>525</v>
      </c>
      <c r="D91" s="364" t="s">
        <v>526</v>
      </c>
      <c r="E91" s="364" t="s">
        <v>1025</v>
      </c>
      <c r="F91" s="364">
        <v>1</v>
      </c>
      <c r="G91" s="364">
        <v>0</v>
      </c>
      <c r="H91" s="364">
        <v>0</v>
      </c>
      <c r="I91" s="364">
        <v>0</v>
      </c>
      <c r="J91" s="364">
        <v>0</v>
      </c>
      <c r="K91" s="364">
        <v>0</v>
      </c>
      <c r="L91" s="364">
        <v>0</v>
      </c>
      <c r="M91" s="364">
        <v>7</v>
      </c>
      <c r="N91" s="364">
        <v>35</v>
      </c>
      <c r="O91" s="364">
        <v>0</v>
      </c>
      <c r="P91" s="364">
        <v>0</v>
      </c>
      <c r="Q91" s="364">
        <v>0</v>
      </c>
      <c r="R91" s="364">
        <v>0</v>
      </c>
      <c r="S91" s="364">
        <v>0</v>
      </c>
      <c r="T91" s="364">
        <v>0</v>
      </c>
      <c r="U91" s="364">
        <v>0</v>
      </c>
      <c r="V91" s="364">
        <v>1</v>
      </c>
      <c r="W91" s="364">
        <v>35</v>
      </c>
      <c r="X91" s="364">
        <v>0</v>
      </c>
      <c r="Y91" s="364">
        <v>47141.48</v>
      </c>
      <c r="Z91" s="364"/>
      <c r="AA91" s="364"/>
    </row>
    <row r="92" spans="2:27" x14ac:dyDescent="0.25">
      <c r="B92" s="364" t="s">
        <v>914</v>
      </c>
      <c r="C92" s="364" t="s">
        <v>521</v>
      </c>
      <c r="D92" s="364" t="s">
        <v>522</v>
      </c>
      <c r="E92" s="364" t="s">
        <v>1026</v>
      </c>
      <c r="F92" s="364">
        <v>1</v>
      </c>
      <c r="G92" s="364">
        <v>0</v>
      </c>
      <c r="H92" s="364">
        <v>0</v>
      </c>
      <c r="I92" s="364">
        <v>0</v>
      </c>
      <c r="J92" s="364">
        <v>0</v>
      </c>
      <c r="K92" s="364">
        <v>0</v>
      </c>
      <c r="L92" s="364">
        <v>0</v>
      </c>
      <c r="M92" s="364">
        <v>7</v>
      </c>
      <c r="N92" s="364">
        <v>35</v>
      </c>
      <c r="O92" s="364">
        <v>0</v>
      </c>
      <c r="P92" s="364">
        <v>0</v>
      </c>
      <c r="Q92" s="364">
        <v>0</v>
      </c>
      <c r="R92" s="364">
        <v>0</v>
      </c>
      <c r="S92" s="364">
        <v>0</v>
      </c>
      <c r="T92" s="364">
        <v>0</v>
      </c>
      <c r="U92" s="364">
        <v>0</v>
      </c>
      <c r="V92" s="364">
        <v>1</v>
      </c>
      <c r="W92" s="364">
        <v>35</v>
      </c>
      <c r="X92" s="364">
        <v>0</v>
      </c>
      <c r="Y92" s="364">
        <v>47141.48</v>
      </c>
      <c r="Z92" s="364"/>
      <c r="AA92" s="364"/>
    </row>
    <row r="93" spans="2:27" x14ac:dyDescent="0.25">
      <c r="B93" s="364" t="s">
        <v>914</v>
      </c>
      <c r="C93" s="364" t="s">
        <v>424</v>
      </c>
      <c r="D93" s="364" t="s">
        <v>425</v>
      </c>
      <c r="E93" s="364" t="s">
        <v>1027</v>
      </c>
      <c r="F93" s="364">
        <v>1</v>
      </c>
      <c r="G93" s="364">
        <v>0</v>
      </c>
      <c r="H93" s="364">
        <v>0</v>
      </c>
      <c r="I93" s="364">
        <v>0</v>
      </c>
      <c r="J93" s="364">
        <v>0</v>
      </c>
      <c r="K93" s="364">
        <v>0</v>
      </c>
      <c r="L93" s="364">
        <v>0</v>
      </c>
      <c r="M93" s="364">
        <v>7</v>
      </c>
      <c r="N93" s="364">
        <v>35</v>
      </c>
      <c r="O93" s="364">
        <v>0</v>
      </c>
      <c r="P93" s="364">
        <v>0</v>
      </c>
      <c r="Q93" s="364">
        <v>0</v>
      </c>
      <c r="R93" s="364">
        <v>0</v>
      </c>
      <c r="S93" s="364">
        <v>0</v>
      </c>
      <c r="T93" s="364">
        <v>0</v>
      </c>
      <c r="U93" s="364">
        <v>0</v>
      </c>
      <c r="V93" s="364">
        <v>1</v>
      </c>
      <c r="W93" s="364">
        <v>35</v>
      </c>
      <c r="X93" s="364">
        <v>0</v>
      </c>
      <c r="Y93" s="364">
        <v>42777.69</v>
      </c>
      <c r="Z93" s="364"/>
      <c r="AA93" s="364"/>
    </row>
    <row r="94" spans="2:27" x14ac:dyDescent="0.25">
      <c r="B94" s="364" t="s">
        <v>914</v>
      </c>
      <c r="C94" s="364" t="s">
        <v>517</v>
      </c>
      <c r="D94" s="364" t="s">
        <v>518</v>
      </c>
      <c r="E94" s="364" t="s">
        <v>1028</v>
      </c>
      <c r="F94" s="364">
        <v>1</v>
      </c>
      <c r="G94" s="364">
        <v>0</v>
      </c>
      <c r="H94" s="364">
        <v>0</v>
      </c>
      <c r="I94" s="364">
        <v>0</v>
      </c>
      <c r="J94" s="364">
        <v>0</v>
      </c>
      <c r="K94" s="364">
        <v>0</v>
      </c>
      <c r="L94" s="364">
        <v>0</v>
      </c>
      <c r="M94" s="364">
        <v>7</v>
      </c>
      <c r="N94" s="364">
        <v>35</v>
      </c>
      <c r="O94" s="364">
        <v>0</v>
      </c>
      <c r="P94" s="364">
        <v>0</v>
      </c>
      <c r="Q94" s="364">
        <v>0</v>
      </c>
      <c r="R94" s="364">
        <v>0</v>
      </c>
      <c r="S94" s="364">
        <v>0</v>
      </c>
      <c r="T94" s="364">
        <v>0</v>
      </c>
      <c r="U94" s="364">
        <v>0</v>
      </c>
      <c r="V94" s="364">
        <v>1</v>
      </c>
      <c r="W94" s="364">
        <v>35</v>
      </c>
      <c r="X94" s="364">
        <v>0</v>
      </c>
      <c r="Y94" s="364">
        <v>46922.66</v>
      </c>
      <c r="Z94" s="364"/>
      <c r="AA94" s="364"/>
    </row>
    <row r="95" spans="2:27" x14ac:dyDescent="0.25">
      <c r="B95" s="364" t="s">
        <v>914</v>
      </c>
      <c r="C95" s="364" t="s">
        <v>519</v>
      </c>
      <c r="D95" s="364" t="s">
        <v>520</v>
      </c>
      <c r="E95" s="364" t="s">
        <v>1029</v>
      </c>
      <c r="F95" s="364">
        <v>1</v>
      </c>
      <c r="G95" s="364">
        <v>0</v>
      </c>
      <c r="H95" s="364">
        <v>0</v>
      </c>
      <c r="I95" s="364">
        <v>0</v>
      </c>
      <c r="J95" s="364">
        <v>0</v>
      </c>
      <c r="K95" s="364">
        <v>0</v>
      </c>
      <c r="L95" s="364">
        <v>0</v>
      </c>
      <c r="M95" s="364">
        <v>7</v>
      </c>
      <c r="N95" s="364">
        <v>35</v>
      </c>
      <c r="O95" s="364">
        <v>0</v>
      </c>
      <c r="P95" s="364">
        <v>0</v>
      </c>
      <c r="Q95" s="364">
        <v>0</v>
      </c>
      <c r="R95" s="364">
        <v>0</v>
      </c>
      <c r="S95" s="364">
        <v>0</v>
      </c>
      <c r="T95" s="364">
        <v>0</v>
      </c>
      <c r="U95" s="364">
        <v>0</v>
      </c>
      <c r="V95" s="364">
        <v>1</v>
      </c>
      <c r="W95" s="364">
        <v>35</v>
      </c>
      <c r="X95" s="364">
        <v>0</v>
      </c>
      <c r="Y95" s="364">
        <v>47049.74</v>
      </c>
      <c r="Z95" s="364"/>
      <c r="AA95" s="364"/>
    </row>
    <row r="96" spans="2:27" x14ac:dyDescent="0.25">
      <c r="B96" s="364" t="s">
        <v>914</v>
      </c>
      <c r="C96" s="364" t="s">
        <v>430</v>
      </c>
      <c r="D96" s="364" t="s">
        <v>431</v>
      </c>
      <c r="E96" s="364" t="s">
        <v>1030</v>
      </c>
      <c r="F96" s="364">
        <v>1</v>
      </c>
      <c r="G96" s="364">
        <v>0</v>
      </c>
      <c r="H96" s="364">
        <v>0</v>
      </c>
      <c r="I96" s="364">
        <v>0</v>
      </c>
      <c r="J96" s="364">
        <v>0</v>
      </c>
      <c r="K96" s="364">
        <v>0</v>
      </c>
      <c r="L96" s="364">
        <v>0</v>
      </c>
      <c r="M96" s="364">
        <v>7</v>
      </c>
      <c r="N96" s="364">
        <v>35</v>
      </c>
      <c r="O96" s="364">
        <v>0</v>
      </c>
      <c r="P96" s="364">
        <v>0</v>
      </c>
      <c r="Q96" s="364">
        <v>0</v>
      </c>
      <c r="R96" s="364">
        <v>0</v>
      </c>
      <c r="S96" s="364">
        <v>0</v>
      </c>
      <c r="T96" s="364">
        <v>0</v>
      </c>
      <c r="U96" s="364">
        <v>0</v>
      </c>
      <c r="V96" s="364">
        <v>1</v>
      </c>
      <c r="W96" s="364">
        <v>35</v>
      </c>
      <c r="X96" s="364">
        <v>0</v>
      </c>
      <c r="Y96" s="364">
        <v>40278.589999999997</v>
      </c>
      <c r="Z96" s="364"/>
      <c r="AA96" s="364"/>
    </row>
    <row r="97" spans="2:27" x14ac:dyDescent="0.25">
      <c r="B97" s="364" t="s">
        <v>914</v>
      </c>
      <c r="C97" s="364" t="s">
        <v>535</v>
      </c>
      <c r="D97" s="364" t="s">
        <v>536</v>
      </c>
      <c r="E97" s="364" t="s">
        <v>1031</v>
      </c>
      <c r="F97" s="364">
        <v>1</v>
      </c>
      <c r="G97" s="364">
        <v>0</v>
      </c>
      <c r="H97" s="364">
        <v>0</v>
      </c>
      <c r="I97" s="364">
        <v>0</v>
      </c>
      <c r="J97" s="364">
        <v>0</v>
      </c>
      <c r="K97" s="364">
        <v>0</v>
      </c>
      <c r="L97" s="364">
        <v>0</v>
      </c>
      <c r="M97" s="364">
        <v>7</v>
      </c>
      <c r="N97" s="364">
        <v>35</v>
      </c>
      <c r="O97" s="364">
        <v>0</v>
      </c>
      <c r="P97" s="364">
        <v>0</v>
      </c>
      <c r="Q97" s="364">
        <v>0</v>
      </c>
      <c r="R97" s="364">
        <v>0</v>
      </c>
      <c r="S97" s="364">
        <v>0</v>
      </c>
      <c r="T97" s="364">
        <v>0</v>
      </c>
      <c r="U97" s="364">
        <v>0</v>
      </c>
      <c r="V97" s="364">
        <v>1</v>
      </c>
      <c r="W97" s="364">
        <v>35</v>
      </c>
      <c r="X97" s="364">
        <v>0</v>
      </c>
      <c r="Y97" s="364">
        <v>48086.78</v>
      </c>
      <c r="Z97" s="364"/>
      <c r="AA97" s="364"/>
    </row>
    <row r="98" spans="2:27" x14ac:dyDescent="0.25">
      <c r="B98" s="364" t="s">
        <v>914</v>
      </c>
      <c r="C98" s="364" t="s">
        <v>515</v>
      </c>
      <c r="D98" s="364" t="s">
        <v>516</v>
      </c>
      <c r="E98" s="364" t="s">
        <v>1032</v>
      </c>
      <c r="F98" s="364">
        <v>1</v>
      </c>
      <c r="G98" s="364">
        <v>0</v>
      </c>
      <c r="H98" s="364">
        <v>0</v>
      </c>
      <c r="I98" s="364">
        <v>0</v>
      </c>
      <c r="J98" s="364">
        <v>0</v>
      </c>
      <c r="K98" s="364">
        <v>0</v>
      </c>
      <c r="L98" s="364">
        <v>0</v>
      </c>
      <c r="M98" s="364">
        <v>7</v>
      </c>
      <c r="N98" s="364">
        <v>35</v>
      </c>
      <c r="O98" s="364">
        <v>0</v>
      </c>
      <c r="P98" s="364">
        <v>0</v>
      </c>
      <c r="Q98" s="364">
        <v>0</v>
      </c>
      <c r="R98" s="364">
        <v>0</v>
      </c>
      <c r="S98" s="364">
        <v>0</v>
      </c>
      <c r="T98" s="364">
        <v>0</v>
      </c>
      <c r="U98" s="364">
        <v>0</v>
      </c>
      <c r="V98" s="364">
        <v>1</v>
      </c>
      <c r="W98" s="364">
        <v>35</v>
      </c>
      <c r="X98" s="364">
        <v>0</v>
      </c>
      <c r="Y98" s="364">
        <v>46922.66</v>
      </c>
      <c r="Z98" s="364"/>
      <c r="AA98" s="364"/>
    </row>
    <row r="99" spans="2:27" x14ac:dyDescent="0.25">
      <c r="B99" s="364" t="s">
        <v>914</v>
      </c>
      <c r="C99" s="364" t="s">
        <v>636</v>
      </c>
      <c r="D99" s="364" t="s">
        <v>637</v>
      </c>
      <c r="E99" s="364" t="s">
        <v>1033</v>
      </c>
      <c r="F99" s="364">
        <v>1</v>
      </c>
      <c r="G99" s="364">
        <v>0</v>
      </c>
      <c r="H99" s="364">
        <v>0</v>
      </c>
      <c r="I99" s="364">
        <v>0</v>
      </c>
      <c r="J99" s="364">
        <v>0</v>
      </c>
      <c r="K99" s="364">
        <v>0</v>
      </c>
      <c r="L99" s="364">
        <v>0</v>
      </c>
      <c r="M99" s="364">
        <v>7</v>
      </c>
      <c r="N99" s="364">
        <v>35</v>
      </c>
      <c r="O99" s="364">
        <v>0</v>
      </c>
      <c r="P99" s="364">
        <v>0</v>
      </c>
      <c r="Q99" s="364">
        <v>0</v>
      </c>
      <c r="R99" s="364">
        <v>0</v>
      </c>
      <c r="S99" s="364">
        <v>0</v>
      </c>
      <c r="T99" s="364">
        <v>0</v>
      </c>
      <c r="U99" s="364">
        <v>0</v>
      </c>
      <c r="V99" s="364">
        <v>1</v>
      </c>
      <c r="W99" s="364">
        <v>35</v>
      </c>
      <c r="X99" s="364">
        <v>0</v>
      </c>
      <c r="Y99" s="364">
        <v>53703.9</v>
      </c>
      <c r="Z99" s="364"/>
      <c r="AA99" s="364"/>
    </row>
    <row r="100" spans="2:27" x14ac:dyDescent="0.25">
      <c r="B100" s="364" t="s">
        <v>914</v>
      </c>
      <c r="C100" s="364" t="s">
        <v>644</v>
      </c>
      <c r="D100" s="364" t="s">
        <v>645</v>
      </c>
      <c r="E100" s="364" t="s">
        <v>1378</v>
      </c>
      <c r="F100" s="364">
        <v>1</v>
      </c>
      <c r="G100" s="364">
        <v>0</v>
      </c>
      <c r="H100" s="364">
        <v>0</v>
      </c>
      <c r="I100" s="364">
        <v>0</v>
      </c>
      <c r="J100" s="364">
        <v>0</v>
      </c>
      <c r="K100" s="364">
        <v>0</v>
      </c>
      <c r="L100" s="364">
        <v>0</v>
      </c>
      <c r="M100" s="364">
        <v>7</v>
      </c>
      <c r="N100" s="364">
        <v>35</v>
      </c>
      <c r="O100" s="364">
        <v>0</v>
      </c>
      <c r="P100" s="364">
        <v>0</v>
      </c>
      <c r="Q100" s="364">
        <v>0</v>
      </c>
      <c r="R100" s="364">
        <v>0</v>
      </c>
      <c r="S100" s="364">
        <v>0</v>
      </c>
      <c r="T100" s="364">
        <v>0</v>
      </c>
      <c r="U100" s="364">
        <v>0</v>
      </c>
      <c r="V100" s="364">
        <v>1</v>
      </c>
      <c r="W100" s="364">
        <v>35</v>
      </c>
      <c r="X100" s="364">
        <v>0</v>
      </c>
      <c r="Y100" s="364">
        <v>43679.54</v>
      </c>
      <c r="Z100" s="364"/>
      <c r="AA100" s="364"/>
    </row>
    <row r="101" spans="2:27" x14ac:dyDescent="0.25">
      <c r="B101" s="364" t="s">
        <v>914</v>
      </c>
      <c r="C101" s="364" t="s">
        <v>646</v>
      </c>
      <c r="D101" s="364" t="s">
        <v>647</v>
      </c>
      <c r="E101" s="364" t="s">
        <v>1034</v>
      </c>
      <c r="F101" s="364">
        <v>1</v>
      </c>
      <c r="G101" s="364">
        <v>0</v>
      </c>
      <c r="H101" s="364">
        <v>0</v>
      </c>
      <c r="I101" s="364">
        <v>0</v>
      </c>
      <c r="J101" s="364">
        <v>0</v>
      </c>
      <c r="K101" s="364">
        <v>0</v>
      </c>
      <c r="L101" s="364">
        <v>0</v>
      </c>
      <c r="M101" s="364">
        <v>7</v>
      </c>
      <c r="N101" s="364">
        <v>35</v>
      </c>
      <c r="O101" s="364">
        <v>0</v>
      </c>
      <c r="P101" s="364">
        <v>0</v>
      </c>
      <c r="Q101" s="364">
        <v>0</v>
      </c>
      <c r="R101" s="364">
        <v>0</v>
      </c>
      <c r="S101" s="364">
        <v>0</v>
      </c>
      <c r="T101" s="364">
        <v>0</v>
      </c>
      <c r="U101" s="364">
        <v>0</v>
      </c>
      <c r="V101" s="364">
        <v>1</v>
      </c>
      <c r="W101" s="364">
        <v>35</v>
      </c>
      <c r="X101" s="364">
        <v>0</v>
      </c>
      <c r="Y101" s="364">
        <v>46485.08</v>
      </c>
      <c r="Z101" s="364"/>
      <c r="AA101" s="364"/>
    </row>
    <row r="102" spans="2:27" x14ac:dyDescent="0.25">
      <c r="B102" s="364" t="s">
        <v>914</v>
      </c>
      <c r="C102" s="364" t="s">
        <v>694</v>
      </c>
      <c r="D102" s="364" t="s">
        <v>695</v>
      </c>
      <c r="E102" s="364" t="s">
        <v>1035</v>
      </c>
      <c r="F102" s="364">
        <v>1</v>
      </c>
      <c r="G102" s="364">
        <v>0</v>
      </c>
      <c r="H102" s="364">
        <v>0</v>
      </c>
      <c r="I102" s="364">
        <v>0</v>
      </c>
      <c r="J102" s="364">
        <v>0</v>
      </c>
      <c r="K102" s="364">
        <v>0</v>
      </c>
      <c r="L102" s="364">
        <v>0</v>
      </c>
      <c r="M102" s="364">
        <v>7</v>
      </c>
      <c r="N102" s="364">
        <v>35</v>
      </c>
      <c r="O102" s="364">
        <v>0</v>
      </c>
      <c r="P102" s="364">
        <v>0</v>
      </c>
      <c r="Q102" s="364">
        <v>0</v>
      </c>
      <c r="R102" s="364">
        <v>0</v>
      </c>
      <c r="S102" s="364">
        <v>0</v>
      </c>
      <c r="T102" s="364">
        <v>0</v>
      </c>
      <c r="U102" s="364">
        <v>0</v>
      </c>
      <c r="V102" s="364">
        <v>1</v>
      </c>
      <c r="W102" s="364">
        <v>35</v>
      </c>
      <c r="X102" s="364">
        <v>0</v>
      </c>
      <c r="Y102" s="364">
        <v>46485.08</v>
      </c>
      <c r="Z102" s="364"/>
      <c r="AA102" s="364"/>
    </row>
    <row r="103" spans="2:27" x14ac:dyDescent="0.25">
      <c r="B103" s="364" t="s">
        <v>914</v>
      </c>
      <c r="C103" s="364" t="s">
        <v>488</v>
      </c>
      <c r="D103" s="364" t="s">
        <v>489</v>
      </c>
      <c r="E103" s="364" t="s">
        <v>1037</v>
      </c>
      <c r="F103" s="364">
        <v>1</v>
      </c>
      <c r="G103" s="364">
        <v>0</v>
      </c>
      <c r="H103" s="364">
        <v>0</v>
      </c>
      <c r="I103" s="364">
        <v>0</v>
      </c>
      <c r="J103" s="364">
        <v>0</v>
      </c>
      <c r="K103" s="364">
        <v>0</v>
      </c>
      <c r="L103" s="364">
        <v>0</v>
      </c>
      <c r="M103" s="364">
        <v>7</v>
      </c>
      <c r="N103" s="364">
        <v>35</v>
      </c>
      <c r="O103" s="364">
        <v>0</v>
      </c>
      <c r="P103" s="364">
        <v>0</v>
      </c>
      <c r="Q103" s="364">
        <v>0</v>
      </c>
      <c r="R103" s="364">
        <v>0</v>
      </c>
      <c r="S103" s="364">
        <v>0</v>
      </c>
      <c r="T103" s="364">
        <v>0</v>
      </c>
      <c r="U103" s="364">
        <v>0</v>
      </c>
      <c r="V103" s="364">
        <v>1</v>
      </c>
      <c r="W103" s="364">
        <v>35</v>
      </c>
      <c r="X103" s="364">
        <v>0</v>
      </c>
      <c r="Y103" s="364">
        <v>46266.26</v>
      </c>
      <c r="Z103" s="364"/>
      <c r="AA103" s="364"/>
    </row>
    <row r="104" spans="2:27" x14ac:dyDescent="0.25">
      <c r="B104" s="364" t="s">
        <v>914</v>
      </c>
      <c r="C104" s="364" t="s">
        <v>484</v>
      </c>
      <c r="D104" s="364" t="s">
        <v>485</v>
      </c>
      <c r="E104" s="364" t="s">
        <v>915</v>
      </c>
      <c r="F104" s="364">
        <v>1</v>
      </c>
      <c r="G104" s="364">
        <v>0</v>
      </c>
      <c r="H104" s="364">
        <v>0</v>
      </c>
      <c r="I104" s="364">
        <v>0</v>
      </c>
      <c r="J104" s="364">
        <v>0</v>
      </c>
      <c r="K104" s="364">
        <v>0</v>
      </c>
      <c r="L104" s="364">
        <v>0</v>
      </c>
      <c r="M104" s="364">
        <v>7</v>
      </c>
      <c r="N104" s="364">
        <v>35</v>
      </c>
      <c r="O104" s="364">
        <v>0</v>
      </c>
      <c r="P104" s="364">
        <v>0</v>
      </c>
      <c r="Q104" s="364">
        <v>0</v>
      </c>
      <c r="R104" s="364">
        <v>0</v>
      </c>
      <c r="S104" s="364">
        <v>0</v>
      </c>
      <c r="T104" s="364">
        <v>0</v>
      </c>
      <c r="U104" s="364">
        <v>0</v>
      </c>
      <c r="V104" s="364">
        <v>1</v>
      </c>
      <c r="W104" s="364">
        <v>35</v>
      </c>
      <c r="X104" s="364">
        <v>0</v>
      </c>
      <c r="Y104" s="364">
        <v>52920.95</v>
      </c>
      <c r="Z104" s="364"/>
      <c r="AA104" s="364"/>
    </row>
    <row r="105" spans="2:27" x14ac:dyDescent="0.25">
      <c r="B105" s="364" t="s">
        <v>914</v>
      </c>
      <c r="C105" s="364" t="s">
        <v>350</v>
      </c>
      <c r="D105" s="364" t="s">
        <v>351</v>
      </c>
      <c r="E105" s="364" t="s">
        <v>916</v>
      </c>
      <c r="F105" s="364">
        <v>1</v>
      </c>
      <c r="G105" s="364">
        <v>0</v>
      </c>
      <c r="H105" s="364">
        <v>0</v>
      </c>
      <c r="I105" s="364">
        <v>0</v>
      </c>
      <c r="J105" s="364">
        <v>0</v>
      </c>
      <c r="K105" s="364">
        <v>0</v>
      </c>
      <c r="L105" s="364">
        <v>0</v>
      </c>
      <c r="M105" s="364">
        <v>7</v>
      </c>
      <c r="N105" s="364">
        <v>35</v>
      </c>
      <c r="O105" s="364">
        <v>0</v>
      </c>
      <c r="P105" s="364">
        <v>0</v>
      </c>
      <c r="Q105" s="364">
        <v>0</v>
      </c>
      <c r="R105" s="364">
        <v>0</v>
      </c>
      <c r="S105" s="364">
        <v>0</v>
      </c>
      <c r="T105" s="364">
        <v>0</v>
      </c>
      <c r="U105" s="364">
        <v>0</v>
      </c>
      <c r="V105" s="364">
        <v>1</v>
      </c>
      <c r="W105" s="364">
        <v>35</v>
      </c>
      <c r="X105" s="364">
        <v>0</v>
      </c>
      <c r="Y105" s="364">
        <v>40899.339999999997</v>
      </c>
      <c r="Z105" s="364"/>
      <c r="AA105" s="364"/>
    </row>
    <row r="106" spans="2:27" x14ac:dyDescent="0.25">
      <c r="B106" s="364" t="s">
        <v>914</v>
      </c>
      <c r="C106" s="364" t="s">
        <v>480</v>
      </c>
      <c r="D106" s="364" t="s">
        <v>481</v>
      </c>
      <c r="E106" s="364" t="s">
        <v>917</v>
      </c>
      <c r="F106" s="364">
        <v>1</v>
      </c>
      <c r="G106" s="364">
        <v>0</v>
      </c>
      <c r="H106" s="364">
        <v>0</v>
      </c>
      <c r="I106" s="364">
        <v>0</v>
      </c>
      <c r="J106" s="364">
        <v>0</v>
      </c>
      <c r="K106" s="364">
        <v>0</v>
      </c>
      <c r="L106" s="364">
        <v>0</v>
      </c>
      <c r="M106" s="364">
        <v>7</v>
      </c>
      <c r="N106" s="364">
        <v>35</v>
      </c>
      <c r="O106" s="364">
        <v>0</v>
      </c>
      <c r="P106" s="364">
        <v>0</v>
      </c>
      <c r="Q106" s="364">
        <v>0</v>
      </c>
      <c r="R106" s="364">
        <v>0</v>
      </c>
      <c r="S106" s="364">
        <v>0</v>
      </c>
      <c r="T106" s="364">
        <v>0</v>
      </c>
      <c r="U106" s="364">
        <v>0</v>
      </c>
      <c r="V106" s="364">
        <v>1</v>
      </c>
      <c r="W106" s="364">
        <v>35</v>
      </c>
      <c r="X106" s="364">
        <v>0</v>
      </c>
      <c r="Y106" s="364">
        <v>50423.48</v>
      </c>
      <c r="Z106" s="364"/>
      <c r="AA106" s="364"/>
    </row>
    <row r="107" spans="2:27" x14ac:dyDescent="0.25">
      <c r="B107" s="364" t="s">
        <v>914</v>
      </c>
      <c r="C107" s="364" t="s">
        <v>393</v>
      </c>
      <c r="D107" s="364" t="s">
        <v>394</v>
      </c>
      <c r="E107" s="364" t="s">
        <v>918</v>
      </c>
      <c r="F107" s="364">
        <v>1</v>
      </c>
      <c r="G107" s="364">
        <v>0</v>
      </c>
      <c r="H107" s="364">
        <v>0</v>
      </c>
      <c r="I107" s="364">
        <v>0</v>
      </c>
      <c r="J107" s="364">
        <v>0</v>
      </c>
      <c r="K107" s="364">
        <v>0</v>
      </c>
      <c r="L107" s="364">
        <v>0</v>
      </c>
      <c r="M107" s="364">
        <v>7</v>
      </c>
      <c r="N107" s="364">
        <v>35</v>
      </c>
      <c r="O107" s="364">
        <v>0</v>
      </c>
      <c r="P107" s="364">
        <v>0</v>
      </c>
      <c r="Q107" s="364">
        <v>0</v>
      </c>
      <c r="R107" s="364">
        <v>0</v>
      </c>
      <c r="S107" s="364">
        <v>0</v>
      </c>
      <c r="T107" s="364">
        <v>0</v>
      </c>
      <c r="U107" s="364">
        <v>0</v>
      </c>
      <c r="V107" s="364">
        <v>1</v>
      </c>
      <c r="W107" s="364">
        <v>35</v>
      </c>
      <c r="X107" s="364">
        <v>0</v>
      </c>
      <c r="Y107" s="364">
        <v>39587.629999999997</v>
      </c>
      <c r="Z107" s="364"/>
      <c r="AA107" s="364"/>
    </row>
    <row r="108" spans="2:27" x14ac:dyDescent="0.25">
      <c r="B108" s="364" t="s">
        <v>914</v>
      </c>
      <c r="C108" s="364" t="s">
        <v>742</v>
      </c>
      <c r="D108" s="364" t="s">
        <v>743</v>
      </c>
      <c r="E108" s="364" t="s">
        <v>919</v>
      </c>
      <c r="F108" s="364">
        <v>1</v>
      </c>
      <c r="G108" s="364">
        <v>0</v>
      </c>
      <c r="H108" s="364">
        <v>0</v>
      </c>
      <c r="I108" s="364">
        <v>0</v>
      </c>
      <c r="J108" s="364">
        <v>0</v>
      </c>
      <c r="K108" s="364">
        <v>0</v>
      </c>
      <c r="L108" s="364">
        <v>0</v>
      </c>
      <c r="M108" s="364">
        <v>7</v>
      </c>
      <c r="N108" s="364">
        <v>35</v>
      </c>
      <c r="O108" s="364">
        <v>0</v>
      </c>
      <c r="P108" s="364">
        <v>0</v>
      </c>
      <c r="Q108" s="364">
        <v>0</v>
      </c>
      <c r="R108" s="364">
        <v>0</v>
      </c>
      <c r="S108" s="364">
        <v>0</v>
      </c>
      <c r="T108" s="364">
        <v>0</v>
      </c>
      <c r="U108" s="364">
        <v>0</v>
      </c>
      <c r="V108" s="364">
        <v>1</v>
      </c>
      <c r="W108" s="364">
        <v>35</v>
      </c>
      <c r="X108" s="364">
        <v>0</v>
      </c>
      <c r="Y108" s="364">
        <v>71018.490000000005</v>
      </c>
      <c r="Z108" s="364"/>
      <c r="AA108" s="364"/>
    </row>
    <row r="109" spans="2:27" x14ac:dyDescent="0.25">
      <c r="B109" s="364" t="s">
        <v>914</v>
      </c>
      <c r="C109" s="364" t="s">
        <v>702</v>
      </c>
      <c r="D109" s="364" t="s">
        <v>703</v>
      </c>
      <c r="E109" s="364" t="s">
        <v>920</v>
      </c>
      <c r="F109" s="364">
        <v>1</v>
      </c>
      <c r="G109" s="364">
        <v>0</v>
      </c>
      <c r="H109" s="364">
        <v>0</v>
      </c>
      <c r="I109" s="364">
        <v>0</v>
      </c>
      <c r="J109" s="364">
        <v>0</v>
      </c>
      <c r="K109" s="364">
        <v>0</v>
      </c>
      <c r="L109" s="364">
        <v>0</v>
      </c>
      <c r="M109" s="364">
        <v>7</v>
      </c>
      <c r="N109" s="364">
        <v>35</v>
      </c>
      <c r="O109" s="364">
        <v>0</v>
      </c>
      <c r="P109" s="364">
        <v>0</v>
      </c>
      <c r="Q109" s="364">
        <v>0</v>
      </c>
      <c r="R109" s="364">
        <v>0</v>
      </c>
      <c r="S109" s="364">
        <v>0</v>
      </c>
      <c r="T109" s="364">
        <v>0</v>
      </c>
      <c r="U109" s="364">
        <v>0</v>
      </c>
      <c r="V109" s="364">
        <v>1</v>
      </c>
      <c r="W109" s="364">
        <v>35</v>
      </c>
      <c r="X109" s="364">
        <v>0</v>
      </c>
      <c r="Y109" s="364">
        <v>50423.48</v>
      </c>
      <c r="Z109" s="364"/>
      <c r="AA109" s="364"/>
    </row>
    <row r="110" spans="2:27" x14ac:dyDescent="0.25">
      <c r="B110" s="364" t="s">
        <v>914</v>
      </c>
      <c r="C110" s="364" t="s">
        <v>696</v>
      </c>
      <c r="D110" s="364" t="s">
        <v>697</v>
      </c>
      <c r="E110" s="364" t="s">
        <v>921</v>
      </c>
      <c r="F110" s="364">
        <v>1</v>
      </c>
      <c r="G110" s="364">
        <v>0</v>
      </c>
      <c r="H110" s="364">
        <v>0</v>
      </c>
      <c r="I110" s="364">
        <v>0</v>
      </c>
      <c r="J110" s="364">
        <v>0</v>
      </c>
      <c r="K110" s="364">
        <v>0</v>
      </c>
      <c r="L110" s="364">
        <v>0</v>
      </c>
      <c r="M110" s="364">
        <v>7</v>
      </c>
      <c r="N110" s="364">
        <v>35</v>
      </c>
      <c r="O110" s="364">
        <v>0</v>
      </c>
      <c r="P110" s="364">
        <v>0</v>
      </c>
      <c r="Q110" s="364">
        <v>0</v>
      </c>
      <c r="R110" s="364">
        <v>0</v>
      </c>
      <c r="S110" s="364">
        <v>0</v>
      </c>
      <c r="T110" s="364">
        <v>0</v>
      </c>
      <c r="U110" s="364">
        <v>0</v>
      </c>
      <c r="V110" s="364">
        <v>1</v>
      </c>
      <c r="W110" s="364">
        <v>35</v>
      </c>
      <c r="X110" s="364">
        <v>0</v>
      </c>
      <c r="Y110" s="364">
        <v>50423.48</v>
      </c>
      <c r="Z110" s="364"/>
      <c r="AA110" s="364"/>
    </row>
    <row r="111" spans="2:27" x14ac:dyDescent="0.25">
      <c r="B111" s="364" t="s">
        <v>914</v>
      </c>
      <c r="C111" s="364" t="s">
        <v>634</v>
      </c>
      <c r="D111" s="364" t="s">
        <v>635</v>
      </c>
      <c r="E111" s="364" t="s">
        <v>922</v>
      </c>
      <c r="F111" s="364">
        <v>1</v>
      </c>
      <c r="G111" s="364">
        <v>0</v>
      </c>
      <c r="H111" s="364">
        <v>0</v>
      </c>
      <c r="I111" s="364">
        <v>0</v>
      </c>
      <c r="J111" s="364">
        <v>0</v>
      </c>
      <c r="K111" s="364">
        <v>0</v>
      </c>
      <c r="L111" s="364">
        <v>0</v>
      </c>
      <c r="M111" s="364">
        <v>7</v>
      </c>
      <c r="N111" s="364">
        <v>35</v>
      </c>
      <c r="O111" s="364">
        <v>0</v>
      </c>
      <c r="P111" s="364">
        <v>0</v>
      </c>
      <c r="Q111" s="364">
        <v>0</v>
      </c>
      <c r="R111" s="364">
        <v>0</v>
      </c>
      <c r="S111" s="364">
        <v>0</v>
      </c>
      <c r="T111" s="364">
        <v>0</v>
      </c>
      <c r="U111" s="364">
        <v>0</v>
      </c>
      <c r="V111" s="364">
        <v>1</v>
      </c>
      <c r="W111" s="364">
        <v>35</v>
      </c>
      <c r="X111" s="364">
        <v>0</v>
      </c>
      <c r="Y111" s="364">
        <v>50423.48</v>
      </c>
      <c r="Z111" s="364"/>
      <c r="AA111" s="364"/>
    </row>
    <row r="112" spans="2:27" x14ac:dyDescent="0.25">
      <c r="B112" s="364" t="s">
        <v>914</v>
      </c>
      <c r="C112" s="364" t="s">
        <v>470</v>
      </c>
      <c r="D112" s="364" t="s">
        <v>471</v>
      </c>
      <c r="E112" s="364" t="s">
        <v>923</v>
      </c>
      <c r="F112" s="364">
        <v>1</v>
      </c>
      <c r="G112" s="364">
        <v>0</v>
      </c>
      <c r="H112" s="364">
        <v>0</v>
      </c>
      <c r="I112" s="364">
        <v>0</v>
      </c>
      <c r="J112" s="364">
        <v>0</v>
      </c>
      <c r="K112" s="364">
        <v>0</v>
      </c>
      <c r="L112" s="364">
        <v>0</v>
      </c>
      <c r="M112" s="364">
        <v>7</v>
      </c>
      <c r="N112" s="364">
        <v>35</v>
      </c>
      <c r="O112" s="364">
        <v>0</v>
      </c>
      <c r="P112" s="364">
        <v>0</v>
      </c>
      <c r="Q112" s="364">
        <v>0</v>
      </c>
      <c r="R112" s="364">
        <v>0</v>
      </c>
      <c r="S112" s="364">
        <v>0</v>
      </c>
      <c r="T112" s="364">
        <v>0</v>
      </c>
      <c r="U112" s="364">
        <v>0</v>
      </c>
      <c r="V112" s="364">
        <v>1</v>
      </c>
      <c r="W112" s="364">
        <v>35</v>
      </c>
      <c r="X112" s="364">
        <v>0</v>
      </c>
      <c r="Y112" s="364">
        <v>45915.01</v>
      </c>
      <c r="Z112" s="364"/>
      <c r="AA112" s="364"/>
    </row>
    <row r="113" spans="2:27" x14ac:dyDescent="0.25">
      <c r="B113" s="364" t="s">
        <v>914</v>
      </c>
      <c r="C113" s="364" t="s">
        <v>308</v>
      </c>
      <c r="D113" s="364" t="s">
        <v>309</v>
      </c>
      <c r="E113" s="364" t="s">
        <v>924</v>
      </c>
      <c r="F113" s="364">
        <v>1</v>
      </c>
      <c r="G113" s="364">
        <v>0</v>
      </c>
      <c r="H113" s="364">
        <v>0</v>
      </c>
      <c r="I113" s="364">
        <v>0</v>
      </c>
      <c r="J113" s="364">
        <v>0</v>
      </c>
      <c r="K113" s="364">
        <v>0</v>
      </c>
      <c r="L113" s="364">
        <v>0</v>
      </c>
      <c r="M113" s="364">
        <v>7</v>
      </c>
      <c r="N113" s="364">
        <v>35</v>
      </c>
      <c r="O113" s="364">
        <v>0</v>
      </c>
      <c r="P113" s="364">
        <v>0</v>
      </c>
      <c r="Q113" s="364">
        <v>0</v>
      </c>
      <c r="R113" s="364">
        <v>0</v>
      </c>
      <c r="S113" s="364">
        <v>0</v>
      </c>
      <c r="T113" s="364">
        <v>0</v>
      </c>
      <c r="U113" s="364">
        <v>0</v>
      </c>
      <c r="V113" s="364">
        <v>1</v>
      </c>
      <c r="W113" s="364">
        <v>35</v>
      </c>
      <c r="X113" s="364">
        <v>0</v>
      </c>
      <c r="Y113" s="364">
        <v>50387.02</v>
      </c>
      <c r="Z113" s="364"/>
      <c r="AA113" s="364"/>
    </row>
    <row r="114" spans="2:27" x14ac:dyDescent="0.25">
      <c r="B114" s="364" t="s">
        <v>914</v>
      </c>
      <c r="C114" s="364" t="s">
        <v>306</v>
      </c>
      <c r="D114" s="364" t="s">
        <v>307</v>
      </c>
      <c r="E114" s="364" t="s">
        <v>925</v>
      </c>
      <c r="F114" s="364">
        <v>1</v>
      </c>
      <c r="G114" s="364">
        <v>0</v>
      </c>
      <c r="H114" s="364">
        <v>0</v>
      </c>
      <c r="I114" s="364">
        <v>0</v>
      </c>
      <c r="J114" s="364">
        <v>0</v>
      </c>
      <c r="K114" s="364">
        <v>0</v>
      </c>
      <c r="L114" s="364">
        <v>0</v>
      </c>
      <c r="M114" s="364">
        <v>7</v>
      </c>
      <c r="N114" s="364">
        <v>35</v>
      </c>
      <c r="O114" s="364">
        <v>0</v>
      </c>
      <c r="P114" s="364">
        <v>0</v>
      </c>
      <c r="Q114" s="364">
        <v>0</v>
      </c>
      <c r="R114" s="364">
        <v>0</v>
      </c>
      <c r="S114" s="364">
        <v>0</v>
      </c>
      <c r="T114" s="364">
        <v>0</v>
      </c>
      <c r="U114" s="364">
        <v>0</v>
      </c>
      <c r="V114" s="364">
        <v>1</v>
      </c>
      <c r="W114" s="364">
        <v>35</v>
      </c>
      <c r="X114" s="364">
        <v>0</v>
      </c>
      <c r="Y114" s="364">
        <v>45738.76</v>
      </c>
      <c r="Z114" s="364"/>
      <c r="AA114" s="364"/>
    </row>
    <row r="115" spans="2:27" x14ac:dyDescent="0.25">
      <c r="B115" s="364" t="s">
        <v>914</v>
      </c>
      <c r="C115" s="364" t="s">
        <v>440</v>
      </c>
      <c r="D115" s="364" t="s">
        <v>441</v>
      </c>
      <c r="E115" s="364" t="s">
        <v>926</v>
      </c>
      <c r="F115" s="364">
        <v>1</v>
      </c>
      <c r="G115" s="364">
        <v>0</v>
      </c>
      <c r="H115" s="364">
        <v>0</v>
      </c>
      <c r="I115" s="364">
        <v>0</v>
      </c>
      <c r="J115" s="364">
        <v>0</v>
      </c>
      <c r="K115" s="364">
        <v>0</v>
      </c>
      <c r="L115" s="364">
        <v>0</v>
      </c>
      <c r="M115" s="364">
        <v>7</v>
      </c>
      <c r="N115" s="364">
        <v>35</v>
      </c>
      <c r="O115" s="364">
        <v>0</v>
      </c>
      <c r="P115" s="364">
        <v>0</v>
      </c>
      <c r="Q115" s="364">
        <v>0</v>
      </c>
      <c r="R115" s="364">
        <v>0</v>
      </c>
      <c r="S115" s="364">
        <v>0</v>
      </c>
      <c r="T115" s="364">
        <v>0</v>
      </c>
      <c r="U115" s="364">
        <v>0</v>
      </c>
      <c r="V115" s="364">
        <v>1</v>
      </c>
      <c r="W115" s="364">
        <v>35</v>
      </c>
      <c r="X115" s="364">
        <v>0</v>
      </c>
      <c r="Y115" s="364">
        <v>41453.57</v>
      </c>
      <c r="Z115" s="364"/>
      <c r="AA115" s="364"/>
    </row>
    <row r="116" spans="2:27" x14ac:dyDescent="0.25">
      <c r="B116" s="364" t="s">
        <v>914</v>
      </c>
      <c r="C116" s="364" t="s">
        <v>494</v>
      </c>
      <c r="D116" s="364" t="s">
        <v>495</v>
      </c>
      <c r="E116" s="364" t="s">
        <v>927</v>
      </c>
      <c r="F116" s="364">
        <v>1</v>
      </c>
      <c r="G116" s="364">
        <v>0</v>
      </c>
      <c r="H116" s="364">
        <v>0</v>
      </c>
      <c r="I116" s="364">
        <v>0</v>
      </c>
      <c r="J116" s="364">
        <v>0</v>
      </c>
      <c r="K116" s="364">
        <v>0</v>
      </c>
      <c r="L116" s="364">
        <v>0</v>
      </c>
      <c r="M116" s="364">
        <v>7</v>
      </c>
      <c r="N116" s="364">
        <v>35</v>
      </c>
      <c r="O116" s="364">
        <v>0</v>
      </c>
      <c r="P116" s="364">
        <v>0</v>
      </c>
      <c r="Q116" s="364">
        <v>0</v>
      </c>
      <c r="R116" s="364">
        <v>0</v>
      </c>
      <c r="S116" s="364">
        <v>0</v>
      </c>
      <c r="T116" s="364">
        <v>0</v>
      </c>
      <c r="U116" s="364">
        <v>0</v>
      </c>
      <c r="V116" s="364">
        <v>1</v>
      </c>
      <c r="W116" s="364">
        <v>35</v>
      </c>
      <c r="X116" s="364">
        <v>0</v>
      </c>
      <c r="Y116" s="364">
        <v>50204.72</v>
      </c>
      <c r="Z116" s="364"/>
      <c r="AA116" s="364"/>
    </row>
    <row r="117" spans="2:27" x14ac:dyDescent="0.25">
      <c r="B117" s="364" t="s">
        <v>914</v>
      </c>
      <c r="C117" s="364" t="s">
        <v>692</v>
      </c>
      <c r="D117" s="364" t="s">
        <v>693</v>
      </c>
      <c r="E117" s="364" t="s">
        <v>928</v>
      </c>
      <c r="F117" s="364">
        <v>1</v>
      </c>
      <c r="G117" s="364">
        <v>0</v>
      </c>
      <c r="H117" s="364">
        <v>0</v>
      </c>
      <c r="I117" s="364">
        <v>0</v>
      </c>
      <c r="J117" s="364">
        <v>0</v>
      </c>
      <c r="K117" s="364">
        <v>0</v>
      </c>
      <c r="L117" s="364">
        <v>0</v>
      </c>
      <c r="M117" s="364">
        <v>7</v>
      </c>
      <c r="N117" s="364">
        <v>35</v>
      </c>
      <c r="O117" s="364">
        <v>0</v>
      </c>
      <c r="P117" s="364">
        <v>0</v>
      </c>
      <c r="Q117" s="364">
        <v>0</v>
      </c>
      <c r="R117" s="364">
        <v>0</v>
      </c>
      <c r="S117" s="364">
        <v>0</v>
      </c>
      <c r="T117" s="364">
        <v>0</v>
      </c>
      <c r="U117" s="364">
        <v>0</v>
      </c>
      <c r="V117" s="364">
        <v>1</v>
      </c>
      <c r="W117" s="364">
        <v>35</v>
      </c>
      <c r="X117" s="364">
        <v>0</v>
      </c>
      <c r="Y117" s="364">
        <v>50095.31</v>
      </c>
      <c r="Z117" s="364"/>
      <c r="AA117" s="364"/>
    </row>
    <row r="118" spans="2:27" x14ac:dyDescent="0.25">
      <c r="B118" s="364" t="s">
        <v>914</v>
      </c>
      <c r="C118" s="364" t="s">
        <v>378</v>
      </c>
      <c r="D118" s="364" t="s">
        <v>379</v>
      </c>
      <c r="E118" s="364" t="s">
        <v>1371</v>
      </c>
      <c r="F118" s="364">
        <v>1</v>
      </c>
      <c r="G118" s="364">
        <v>0</v>
      </c>
      <c r="H118" s="364">
        <v>0</v>
      </c>
      <c r="I118" s="364">
        <v>0</v>
      </c>
      <c r="J118" s="364">
        <v>0</v>
      </c>
      <c r="K118" s="364">
        <v>0</v>
      </c>
      <c r="L118" s="364">
        <v>0</v>
      </c>
      <c r="M118" s="364">
        <v>7</v>
      </c>
      <c r="N118" s="364">
        <v>35</v>
      </c>
      <c r="O118" s="364">
        <v>0</v>
      </c>
      <c r="P118" s="364">
        <v>0</v>
      </c>
      <c r="Q118" s="364">
        <v>0</v>
      </c>
      <c r="R118" s="364">
        <v>0</v>
      </c>
      <c r="S118" s="364">
        <v>0</v>
      </c>
      <c r="T118" s="364">
        <v>0</v>
      </c>
      <c r="U118" s="364">
        <v>0</v>
      </c>
      <c r="V118" s="364">
        <v>1</v>
      </c>
      <c r="W118" s="364">
        <v>35</v>
      </c>
      <c r="X118" s="364">
        <v>0</v>
      </c>
      <c r="Y118" s="364">
        <v>38261.980000000003</v>
      </c>
      <c r="Z118" s="364"/>
      <c r="AA118" s="364"/>
    </row>
    <row r="119" spans="2:27" x14ac:dyDescent="0.25">
      <c r="B119" s="364" t="s">
        <v>914</v>
      </c>
      <c r="C119" s="364" t="s">
        <v>468</v>
      </c>
      <c r="D119" s="364" t="s">
        <v>469</v>
      </c>
      <c r="E119" s="364" t="s">
        <v>929</v>
      </c>
      <c r="F119" s="364">
        <v>1</v>
      </c>
      <c r="G119" s="364">
        <v>0</v>
      </c>
      <c r="H119" s="364">
        <v>0</v>
      </c>
      <c r="I119" s="364">
        <v>0</v>
      </c>
      <c r="J119" s="364">
        <v>0</v>
      </c>
      <c r="K119" s="364">
        <v>0</v>
      </c>
      <c r="L119" s="364">
        <v>0</v>
      </c>
      <c r="M119" s="364">
        <v>7</v>
      </c>
      <c r="N119" s="364">
        <v>35</v>
      </c>
      <c r="O119" s="364">
        <v>0</v>
      </c>
      <c r="P119" s="364">
        <v>0</v>
      </c>
      <c r="Q119" s="364">
        <v>0</v>
      </c>
      <c r="R119" s="364">
        <v>0</v>
      </c>
      <c r="S119" s="364">
        <v>0</v>
      </c>
      <c r="T119" s="364">
        <v>0</v>
      </c>
      <c r="U119" s="364">
        <v>0</v>
      </c>
      <c r="V119" s="364">
        <v>1</v>
      </c>
      <c r="W119" s="364">
        <v>35</v>
      </c>
      <c r="X119" s="364">
        <v>0</v>
      </c>
      <c r="Y119" s="364">
        <v>45104.25</v>
      </c>
      <c r="Z119" s="364"/>
      <c r="AA119" s="364"/>
    </row>
    <row r="120" spans="2:27" x14ac:dyDescent="0.25">
      <c r="B120" s="364" t="s">
        <v>914</v>
      </c>
      <c r="C120" s="364" t="s">
        <v>474</v>
      </c>
      <c r="D120" s="364" t="s">
        <v>475</v>
      </c>
      <c r="E120" s="364" t="s">
        <v>930</v>
      </c>
      <c r="F120" s="364">
        <v>1</v>
      </c>
      <c r="G120" s="364">
        <v>0</v>
      </c>
      <c r="H120" s="364">
        <v>0</v>
      </c>
      <c r="I120" s="364">
        <v>0</v>
      </c>
      <c r="J120" s="364">
        <v>0</v>
      </c>
      <c r="K120" s="364">
        <v>0</v>
      </c>
      <c r="L120" s="364">
        <v>0</v>
      </c>
      <c r="M120" s="364">
        <v>7</v>
      </c>
      <c r="N120" s="364">
        <v>35</v>
      </c>
      <c r="O120" s="364">
        <v>0</v>
      </c>
      <c r="P120" s="364">
        <v>0</v>
      </c>
      <c r="Q120" s="364">
        <v>0</v>
      </c>
      <c r="R120" s="364">
        <v>0</v>
      </c>
      <c r="S120" s="364">
        <v>0</v>
      </c>
      <c r="T120" s="364">
        <v>0</v>
      </c>
      <c r="U120" s="364">
        <v>0</v>
      </c>
      <c r="V120" s="364">
        <v>1</v>
      </c>
      <c r="W120" s="364">
        <v>35</v>
      </c>
      <c r="X120" s="364">
        <v>0</v>
      </c>
      <c r="Y120" s="364">
        <v>60492</v>
      </c>
      <c r="Z120" s="364"/>
      <c r="AA120" s="364"/>
    </row>
    <row r="121" spans="2:27" x14ac:dyDescent="0.25">
      <c r="B121" s="364" t="s">
        <v>914</v>
      </c>
      <c r="C121" s="364" t="s">
        <v>553</v>
      </c>
      <c r="D121" s="364" t="s">
        <v>554</v>
      </c>
      <c r="E121" s="364" t="s">
        <v>931</v>
      </c>
      <c r="F121" s="364">
        <v>1</v>
      </c>
      <c r="G121" s="364">
        <v>0</v>
      </c>
      <c r="H121" s="364">
        <v>0</v>
      </c>
      <c r="I121" s="364">
        <v>0</v>
      </c>
      <c r="J121" s="364">
        <v>0</v>
      </c>
      <c r="K121" s="364">
        <v>0</v>
      </c>
      <c r="L121" s="364">
        <v>0</v>
      </c>
      <c r="M121" s="364">
        <v>7</v>
      </c>
      <c r="N121" s="364">
        <v>35</v>
      </c>
      <c r="O121" s="364">
        <v>0</v>
      </c>
      <c r="P121" s="364">
        <v>0</v>
      </c>
      <c r="Q121" s="364">
        <v>0</v>
      </c>
      <c r="R121" s="364">
        <v>0</v>
      </c>
      <c r="S121" s="364">
        <v>0</v>
      </c>
      <c r="T121" s="364">
        <v>0</v>
      </c>
      <c r="U121" s="364">
        <v>0</v>
      </c>
      <c r="V121" s="364">
        <v>1</v>
      </c>
      <c r="W121" s="364">
        <v>35</v>
      </c>
      <c r="X121" s="364">
        <v>0</v>
      </c>
      <c r="Y121" s="364">
        <v>49767.08</v>
      </c>
      <c r="Z121" s="364"/>
      <c r="AA121" s="364"/>
    </row>
    <row r="122" spans="2:27" x14ac:dyDescent="0.25">
      <c r="B122" s="364" t="s">
        <v>914</v>
      </c>
      <c r="C122" s="364" t="s">
        <v>462</v>
      </c>
      <c r="D122" s="364" t="s">
        <v>463</v>
      </c>
      <c r="E122" s="364" t="s">
        <v>1357</v>
      </c>
      <c r="F122" s="364">
        <v>1</v>
      </c>
      <c r="G122" s="364">
        <v>0</v>
      </c>
      <c r="H122" s="364">
        <v>0</v>
      </c>
      <c r="I122" s="364">
        <v>0</v>
      </c>
      <c r="J122" s="364">
        <v>0</v>
      </c>
      <c r="K122" s="364">
        <v>0</v>
      </c>
      <c r="L122" s="364">
        <v>0</v>
      </c>
      <c r="M122" s="364">
        <v>7</v>
      </c>
      <c r="N122" s="364">
        <v>35</v>
      </c>
      <c r="O122" s="364">
        <v>0</v>
      </c>
      <c r="P122" s="364">
        <v>0</v>
      </c>
      <c r="Q122" s="364">
        <v>0</v>
      </c>
      <c r="R122" s="364">
        <v>0</v>
      </c>
      <c r="S122" s="364">
        <v>0</v>
      </c>
      <c r="T122" s="364">
        <v>0</v>
      </c>
      <c r="U122" s="364">
        <v>0</v>
      </c>
      <c r="V122" s="364">
        <v>1</v>
      </c>
      <c r="W122" s="364">
        <v>35</v>
      </c>
      <c r="X122" s="364">
        <v>0</v>
      </c>
      <c r="Y122" s="364">
        <v>45080.75</v>
      </c>
      <c r="Z122" s="364"/>
      <c r="AA122" s="364"/>
    </row>
    <row r="123" spans="2:27" x14ac:dyDescent="0.25">
      <c r="B123" s="364" t="s">
        <v>914</v>
      </c>
      <c r="C123" s="364" t="s">
        <v>664</v>
      </c>
      <c r="D123" s="364" t="s">
        <v>665</v>
      </c>
      <c r="E123" s="364" t="s">
        <v>932</v>
      </c>
      <c r="F123" s="364">
        <v>1</v>
      </c>
      <c r="G123" s="364">
        <v>0</v>
      </c>
      <c r="H123" s="364">
        <v>0</v>
      </c>
      <c r="I123" s="364">
        <v>0</v>
      </c>
      <c r="J123" s="364">
        <v>0</v>
      </c>
      <c r="K123" s="364">
        <v>0</v>
      </c>
      <c r="L123" s="364">
        <v>0</v>
      </c>
      <c r="M123" s="364">
        <v>7</v>
      </c>
      <c r="N123" s="364">
        <v>35</v>
      </c>
      <c r="O123" s="364">
        <v>0</v>
      </c>
      <c r="P123" s="364">
        <v>0</v>
      </c>
      <c r="Q123" s="364">
        <v>0</v>
      </c>
      <c r="R123" s="364">
        <v>0</v>
      </c>
      <c r="S123" s="364">
        <v>0</v>
      </c>
      <c r="T123" s="364">
        <v>0</v>
      </c>
      <c r="U123" s="364">
        <v>0</v>
      </c>
      <c r="V123" s="364">
        <v>1</v>
      </c>
      <c r="W123" s="364">
        <v>35</v>
      </c>
      <c r="X123" s="364">
        <v>0</v>
      </c>
      <c r="Y123" s="364">
        <v>49767.08</v>
      </c>
      <c r="Z123" s="364"/>
      <c r="AA123" s="364"/>
    </row>
    <row r="124" spans="2:27" x14ac:dyDescent="0.25">
      <c r="B124" s="364" t="s">
        <v>914</v>
      </c>
      <c r="C124" s="364" t="s">
        <v>366</v>
      </c>
      <c r="D124" s="364" t="s">
        <v>367</v>
      </c>
      <c r="E124" s="364" t="s">
        <v>933</v>
      </c>
      <c r="F124" s="364">
        <v>1</v>
      </c>
      <c r="G124" s="364">
        <v>0</v>
      </c>
      <c r="H124" s="364">
        <v>0</v>
      </c>
      <c r="I124" s="364">
        <v>0</v>
      </c>
      <c r="J124" s="364">
        <v>0</v>
      </c>
      <c r="K124" s="364">
        <v>0</v>
      </c>
      <c r="L124" s="364">
        <v>0</v>
      </c>
      <c r="M124" s="364">
        <v>7</v>
      </c>
      <c r="N124" s="364">
        <v>35</v>
      </c>
      <c r="O124" s="364">
        <v>0</v>
      </c>
      <c r="P124" s="364">
        <v>0</v>
      </c>
      <c r="Q124" s="364">
        <v>0</v>
      </c>
      <c r="R124" s="364">
        <v>0</v>
      </c>
      <c r="S124" s="364">
        <v>0</v>
      </c>
      <c r="T124" s="364">
        <v>0</v>
      </c>
      <c r="U124" s="364">
        <v>0</v>
      </c>
      <c r="V124" s="364">
        <v>1</v>
      </c>
      <c r="W124" s="364">
        <v>35</v>
      </c>
      <c r="X124" s="364">
        <v>0</v>
      </c>
      <c r="Y124" s="364">
        <v>41471.35</v>
      </c>
      <c r="Z124" s="364"/>
      <c r="AA124" s="364"/>
    </row>
    <row r="125" spans="2:27" x14ac:dyDescent="0.25">
      <c r="B125" s="364" t="s">
        <v>914</v>
      </c>
      <c r="C125" s="364" t="s">
        <v>673</v>
      </c>
      <c r="D125" s="364" t="s">
        <v>674</v>
      </c>
      <c r="E125" s="364" t="s">
        <v>934</v>
      </c>
      <c r="F125" s="364">
        <v>1</v>
      </c>
      <c r="G125" s="364">
        <v>0</v>
      </c>
      <c r="H125" s="364">
        <v>0</v>
      </c>
      <c r="I125" s="364">
        <v>0</v>
      </c>
      <c r="J125" s="364">
        <v>0</v>
      </c>
      <c r="K125" s="364">
        <v>0</v>
      </c>
      <c r="L125" s="364">
        <v>0</v>
      </c>
      <c r="M125" s="364">
        <v>7</v>
      </c>
      <c r="N125" s="364">
        <v>35</v>
      </c>
      <c r="O125" s="364">
        <v>0</v>
      </c>
      <c r="P125" s="364">
        <v>0</v>
      </c>
      <c r="Q125" s="364">
        <v>0</v>
      </c>
      <c r="R125" s="364">
        <v>0</v>
      </c>
      <c r="S125" s="364">
        <v>0</v>
      </c>
      <c r="T125" s="364">
        <v>0</v>
      </c>
      <c r="U125" s="364">
        <v>0</v>
      </c>
      <c r="V125" s="364">
        <v>1</v>
      </c>
      <c r="W125" s="364">
        <v>35</v>
      </c>
      <c r="X125" s="364">
        <v>0</v>
      </c>
      <c r="Y125" s="364">
        <v>49767.08</v>
      </c>
      <c r="Z125" s="364"/>
      <c r="AA125" s="364"/>
    </row>
    <row r="126" spans="2:27" x14ac:dyDescent="0.25">
      <c r="B126" s="364" t="s">
        <v>914</v>
      </c>
      <c r="C126" s="364" t="s">
        <v>1358</v>
      </c>
      <c r="D126" s="364" t="s">
        <v>677</v>
      </c>
      <c r="E126" s="364" t="s">
        <v>935</v>
      </c>
      <c r="F126" s="364">
        <v>1</v>
      </c>
      <c r="G126" s="364">
        <v>0</v>
      </c>
      <c r="H126" s="364">
        <v>0</v>
      </c>
      <c r="I126" s="364">
        <v>0</v>
      </c>
      <c r="J126" s="364">
        <v>0</v>
      </c>
      <c r="K126" s="364">
        <v>0</v>
      </c>
      <c r="L126" s="364">
        <v>0</v>
      </c>
      <c r="M126" s="364">
        <v>7</v>
      </c>
      <c r="N126" s="364">
        <v>35</v>
      </c>
      <c r="O126" s="364">
        <v>0</v>
      </c>
      <c r="P126" s="364">
        <v>0</v>
      </c>
      <c r="Q126" s="364">
        <v>0</v>
      </c>
      <c r="R126" s="364">
        <v>0</v>
      </c>
      <c r="S126" s="364">
        <v>0</v>
      </c>
      <c r="T126" s="364">
        <v>0</v>
      </c>
      <c r="U126" s="364">
        <v>0</v>
      </c>
      <c r="V126" s="364">
        <v>1</v>
      </c>
      <c r="W126" s="364">
        <v>35</v>
      </c>
      <c r="X126" s="364">
        <v>0</v>
      </c>
      <c r="Y126" s="364">
        <v>46852.160000000003</v>
      </c>
      <c r="Z126" s="364"/>
      <c r="AA126" s="364"/>
    </row>
    <row r="127" spans="2:27" x14ac:dyDescent="0.25">
      <c r="B127" s="364" t="s">
        <v>914</v>
      </c>
      <c r="C127" s="364" t="s">
        <v>472</v>
      </c>
      <c r="D127" s="364" t="s">
        <v>473</v>
      </c>
      <c r="E127" s="364" t="s">
        <v>1372</v>
      </c>
      <c r="F127" s="364">
        <v>1</v>
      </c>
      <c r="G127" s="364">
        <v>0</v>
      </c>
      <c r="H127" s="364">
        <v>0</v>
      </c>
      <c r="I127" s="364">
        <v>0</v>
      </c>
      <c r="J127" s="364">
        <v>0</v>
      </c>
      <c r="K127" s="364">
        <v>0</v>
      </c>
      <c r="L127" s="364">
        <v>0</v>
      </c>
      <c r="M127" s="364">
        <v>7</v>
      </c>
      <c r="N127" s="364">
        <v>35</v>
      </c>
      <c r="O127" s="364">
        <v>0</v>
      </c>
      <c r="P127" s="364">
        <v>0</v>
      </c>
      <c r="Q127" s="364">
        <v>0</v>
      </c>
      <c r="R127" s="364">
        <v>0</v>
      </c>
      <c r="S127" s="364">
        <v>0</v>
      </c>
      <c r="T127" s="364">
        <v>0</v>
      </c>
      <c r="U127" s="364">
        <v>0</v>
      </c>
      <c r="V127" s="364">
        <v>1</v>
      </c>
      <c r="W127" s="364">
        <v>35</v>
      </c>
      <c r="X127" s="364">
        <v>0</v>
      </c>
      <c r="Y127" s="364">
        <v>45104.25</v>
      </c>
      <c r="Z127" s="364"/>
      <c r="AA127" s="364"/>
    </row>
    <row r="128" spans="2:27" x14ac:dyDescent="0.25">
      <c r="B128" s="364" t="s">
        <v>914</v>
      </c>
      <c r="C128" s="364" t="s">
        <v>688</v>
      </c>
      <c r="D128" s="364" t="s">
        <v>689</v>
      </c>
      <c r="E128" s="364" t="s">
        <v>936</v>
      </c>
      <c r="F128" s="364">
        <v>1</v>
      </c>
      <c r="G128" s="364">
        <v>0</v>
      </c>
      <c r="H128" s="364">
        <v>0</v>
      </c>
      <c r="I128" s="364">
        <v>0</v>
      </c>
      <c r="J128" s="364">
        <v>0</v>
      </c>
      <c r="K128" s="364">
        <v>0</v>
      </c>
      <c r="L128" s="364">
        <v>0</v>
      </c>
      <c r="M128" s="364">
        <v>7</v>
      </c>
      <c r="N128" s="364">
        <v>35</v>
      </c>
      <c r="O128" s="364">
        <v>0</v>
      </c>
      <c r="P128" s="364">
        <v>0</v>
      </c>
      <c r="Q128" s="364">
        <v>0</v>
      </c>
      <c r="R128" s="364">
        <v>0</v>
      </c>
      <c r="S128" s="364">
        <v>0</v>
      </c>
      <c r="T128" s="364">
        <v>0</v>
      </c>
      <c r="U128" s="364">
        <v>0</v>
      </c>
      <c r="V128" s="364">
        <v>1</v>
      </c>
      <c r="W128" s="364">
        <v>35</v>
      </c>
      <c r="X128" s="364">
        <v>0</v>
      </c>
      <c r="Y128" s="364">
        <v>46742.78</v>
      </c>
      <c r="Z128" s="364"/>
      <c r="AA128" s="364"/>
    </row>
    <row r="129" spans="2:27" x14ac:dyDescent="0.25">
      <c r="B129" s="364" t="s">
        <v>914</v>
      </c>
      <c r="C129" s="364" t="s">
        <v>486</v>
      </c>
      <c r="D129" s="364" t="s">
        <v>487</v>
      </c>
      <c r="E129" s="364" t="s">
        <v>937</v>
      </c>
      <c r="F129" s="364">
        <v>1</v>
      </c>
      <c r="G129" s="364">
        <v>0</v>
      </c>
      <c r="H129" s="364">
        <v>0</v>
      </c>
      <c r="I129" s="364">
        <v>0</v>
      </c>
      <c r="J129" s="364">
        <v>0</v>
      </c>
      <c r="K129" s="364">
        <v>0</v>
      </c>
      <c r="L129" s="364">
        <v>0</v>
      </c>
      <c r="M129" s="364">
        <v>7</v>
      </c>
      <c r="N129" s="364">
        <v>35</v>
      </c>
      <c r="O129" s="364">
        <v>0</v>
      </c>
      <c r="P129" s="364">
        <v>0</v>
      </c>
      <c r="Q129" s="364">
        <v>0</v>
      </c>
      <c r="R129" s="364">
        <v>0</v>
      </c>
      <c r="S129" s="364">
        <v>0</v>
      </c>
      <c r="T129" s="364">
        <v>0</v>
      </c>
      <c r="U129" s="364">
        <v>0</v>
      </c>
      <c r="V129" s="364">
        <v>1</v>
      </c>
      <c r="W129" s="364">
        <v>35</v>
      </c>
      <c r="X129" s="364">
        <v>0</v>
      </c>
      <c r="Y129" s="364">
        <v>48673.1</v>
      </c>
      <c r="Z129" s="364"/>
      <c r="AA129" s="364"/>
    </row>
    <row r="130" spans="2:27" x14ac:dyDescent="0.25">
      <c r="B130" s="364" t="s">
        <v>914</v>
      </c>
      <c r="C130" s="364" t="s">
        <v>466</v>
      </c>
      <c r="D130" s="364" t="s">
        <v>467</v>
      </c>
      <c r="E130" s="364" t="s">
        <v>938</v>
      </c>
      <c r="F130" s="364">
        <v>1</v>
      </c>
      <c r="G130" s="364">
        <v>0</v>
      </c>
      <c r="H130" s="364">
        <v>0</v>
      </c>
      <c r="I130" s="364">
        <v>0</v>
      </c>
      <c r="J130" s="364">
        <v>0</v>
      </c>
      <c r="K130" s="364">
        <v>0</v>
      </c>
      <c r="L130" s="364">
        <v>0</v>
      </c>
      <c r="M130" s="364">
        <v>7</v>
      </c>
      <c r="N130" s="364">
        <v>35</v>
      </c>
      <c r="O130" s="364">
        <v>0</v>
      </c>
      <c r="P130" s="364">
        <v>0</v>
      </c>
      <c r="Q130" s="364">
        <v>0</v>
      </c>
      <c r="R130" s="364">
        <v>0</v>
      </c>
      <c r="S130" s="364">
        <v>0</v>
      </c>
      <c r="T130" s="364">
        <v>0</v>
      </c>
      <c r="U130" s="364">
        <v>0</v>
      </c>
      <c r="V130" s="364">
        <v>1</v>
      </c>
      <c r="W130" s="364">
        <v>35</v>
      </c>
      <c r="X130" s="364">
        <v>0</v>
      </c>
      <c r="Y130" s="364">
        <v>45104.25</v>
      </c>
      <c r="Z130" s="364"/>
      <c r="AA130" s="364"/>
    </row>
    <row r="131" spans="2:27" x14ac:dyDescent="0.25">
      <c r="B131" s="364" t="s">
        <v>914</v>
      </c>
      <c r="C131" s="364" t="s">
        <v>460</v>
      </c>
      <c r="D131" s="364" t="s">
        <v>461</v>
      </c>
      <c r="E131" s="364" t="s">
        <v>939</v>
      </c>
      <c r="F131" s="364">
        <v>1</v>
      </c>
      <c r="G131" s="364">
        <v>0</v>
      </c>
      <c r="H131" s="364">
        <v>0</v>
      </c>
      <c r="I131" s="364">
        <v>0</v>
      </c>
      <c r="J131" s="364">
        <v>0</v>
      </c>
      <c r="K131" s="364">
        <v>0</v>
      </c>
      <c r="L131" s="364">
        <v>0</v>
      </c>
      <c r="M131" s="364">
        <v>7</v>
      </c>
      <c r="N131" s="364">
        <v>35</v>
      </c>
      <c r="O131" s="364">
        <v>0</v>
      </c>
      <c r="P131" s="364">
        <v>0</v>
      </c>
      <c r="Q131" s="364">
        <v>0</v>
      </c>
      <c r="R131" s="364">
        <v>0</v>
      </c>
      <c r="S131" s="364">
        <v>0</v>
      </c>
      <c r="T131" s="364">
        <v>0</v>
      </c>
      <c r="U131" s="364">
        <v>0</v>
      </c>
      <c r="V131" s="364">
        <v>1</v>
      </c>
      <c r="W131" s="364">
        <v>35</v>
      </c>
      <c r="X131" s="364">
        <v>0</v>
      </c>
      <c r="Y131" s="364">
        <v>43423.61</v>
      </c>
      <c r="Z131" s="364"/>
      <c r="AA131" s="364"/>
    </row>
    <row r="132" spans="2:27" x14ac:dyDescent="0.25">
      <c r="B132" s="364" t="s">
        <v>914</v>
      </c>
      <c r="C132" s="364" t="s">
        <v>496</v>
      </c>
      <c r="D132" s="364" t="s">
        <v>497</v>
      </c>
      <c r="E132" s="364" t="s">
        <v>940</v>
      </c>
      <c r="F132" s="364">
        <v>1</v>
      </c>
      <c r="G132" s="364">
        <v>0</v>
      </c>
      <c r="H132" s="364">
        <v>0</v>
      </c>
      <c r="I132" s="364">
        <v>0</v>
      </c>
      <c r="J132" s="364">
        <v>0</v>
      </c>
      <c r="K132" s="364">
        <v>0</v>
      </c>
      <c r="L132" s="364">
        <v>0</v>
      </c>
      <c r="M132" s="364">
        <v>7</v>
      </c>
      <c r="N132" s="364">
        <v>35</v>
      </c>
      <c r="O132" s="364">
        <v>0</v>
      </c>
      <c r="P132" s="364">
        <v>0</v>
      </c>
      <c r="Q132" s="364">
        <v>0</v>
      </c>
      <c r="R132" s="364">
        <v>0</v>
      </c>
      <c r="S132" s="364">
        <v>0</v>
      </c>
      <c r="T132" s="364">
        <v>0</v>
      </c>
      <c r="U132" s="364">
        <v>0</v>
      </c>
      <c r="V132" s="364">
        <v>1</v>
      </c>
      <c r="W132" s="364">
        <v>35</v>
      </c>
      <c r="X132" s="364">
        <v>0</v>
      </c>
      <c r="Y132" s="364">
        <v>49329.5</v>
      </c>
      <c r="Z132" s="364"/>
      <c r="AA132" s="364"/>
    </row>
    <row r="133" spans="2:27" x14ac:dyDescent="0.25">
      <c r="B133" s="364" t="s">
        <v>914</v>
      </c>
      <c r="C133" s="364" t="s">
        <v>941</v>
      </c>
      <c r="D133" s="364" t="s">
        <v>942</v>
      </c>
      <c r="E133" s="364" t="s">
        <v>943</v>
      </c>
      <c r="F133" s="364">
        <v>1</v>
      </c>
      <c r="G133" s="364">
        <v>0</v>
      </c>
      <c r="H133" s="364">
        <v>0</v>
      </c>
      <c r="I133" s="364">
        <v>0</v>
      </c>
      <c r="J133" s="364">
        <v>0</v>
      </c>
      <c r="K133" s="364">
        <v>0</v>
      </c>
      <c r="L133" s="364">
        <v>0</v>
      </c>
      <c r="M133" s="364">
        <v>7</v>
      </c>
      <c r="N133" s="364">
        <v>35</v>
      </c>
      <c r="O133" s="364">
        <v>0</v>
      </c>
      <c r="P133" s="364">
        <v>0</v>
      </c>
      <c r="Q133" s="364">
        <v>0</v>
      </c>
      <c r="R133" s="364">
        <v>0</v>
      </c>
      <c r="S133" s="364">
        <v>0</v>
      </c>
      <c r="T133" s="364">
        <v>0</v>
      </c>
      <c r="U133" s="364">
        <v>0</v>
      </c>
      <c r="V133" s="364">
        <v>1</v>
      </c>
      <c r="W133" s="364">
        <v>35</v>
      </c>
      <c r="X133" s="364">
        <v>0</v>
      </c>
      <c r="Y133" s="364">
        <v>38545.31</v>
      </c>
      <c r="Z133" s="364"/>
      <c r="AA133" s="364"/>
    </row>
    <row r="134" spans="2:27" x14ac:dyDescent="0.25">
      <c r="B134" s="364" t="s">
        <v>914</v>
      </c>
      <c r="C134" s="364" t="s">
        <v>464</v>
      </c>
      <c r="D134" s="364" t="s">
        <v>465</v>
      </c>
      <c r="E134" s="364" t="s">
        <v>944</v>
      </c>
      <c r="F134" s="364">
        <v>1</v>
      </c>
      <c r="G134" s="364">
        <v>0</v>
      </c>
      <c r="H134" s="364">
        <v>0</v>
      </c>
      <c r="I134" s="364">
        <v>0</v>
      </c>
      <c r="J134" s="364">
        <v>0</v>
      </c>
      <c r="K134" s="364">
        <v>0</v>
      </c>
      <c r="L134" s="364">
        <v>0</v>
      </c>
      <c r="M134" s="364">
        <v>7</v>
      </c>
      <c r="N134" s="364">
        <v>35</v>
      </c>
      <c r="O134" s="364">
        <v>0</v>
      </c>
      <c r="P134" s="364">
        <v>0</v>
      </c>
      <c r="Q134" s="364">
        <v>0</v>
      </c>
      <c r="R134" s="364">
        <v>0</v>
      </c>
      <c r="S134" s="364">
        <v>0</v>
      </c>
      <c r="T134" s="364">
        <v>0</v>
      </c>
      <c r="U134" s="364">
        <v>0</v>
      </c>
      <c r="V134" s="364">
        <v>1</v>
      </c>
      <c r="W134" s="364">
        <v>35</v>
      </c>
      <c r="X134" s="364">
        <v>0</v>
      </c>
      <c r="Y134" s="364">
        <v>45104.25</v>
      </c>
      <c r="Z134" s="364"/>
      <c r="AA134" s="364"/>
    </row>
    <row r="135" spans="2:27" x14ac:dyDescent="0.25">
      <c r="B135" s="364" t="s">
        <v>914</v>
      </c>
      <c r="C135" s="364" t="s">
        <v>504</v>
      </c>
      <c r="D135" s="364" t="s">
        <v>505</v>
      </c>
      <c r="E135" s="364" t="s">
        <v>1373</v>
      </c>
      <c r="F135" s="364">
        <v>1</v>
      </c>
      <c r="G135" s="364">
        <v>0</v>
      </c>
      <c r="H135" s="364">
        <v>0</v>
      </c>
      <c r="I135" s="364">
        <v>0</v>
      </c>
      <c r="J135" s="364">
        <v>0</v>
      </c>
      <c r="K135" s="364">
        <v>0</v>
      </c>
      <c r="L135" s="364">
        <v>0</v>
      </c>
      <c r="M135" s="364">
        <v>7</v>
      </c>
      <c r="N135" s="364">
        <v>35</v>
      </c>
      <c r="O135" s="364">
        <v>0</v>
      </c>
      <c r="P135" s="364">
        <v>0</v>
      </c>
      <c r="Q135" s="364">
        <v>0</v>
      </c>
      <c r="R135" s="364">
        <v>0</v>
      </c>
      <c r="S135" s="364">
        <v>0</v>
      </c>
      <c r="T135" s="364">
        <v>0</v>
      </c>
      <c r="U135" s="364">
        <v>0</v>
      </c>
      <c r="V135" s="364">
        <v>1</v>
      </c>
      <c r="W135" s="364">
        <v>35</v>
      </c>
      <c r="X135" s="364">
        <v>0</v>
      </c>
      <c r="Y135" s="364">
        <v>49548.32</v>
      </c>
      <c r="Z135" s="364"/>
      <c r="AA135" s="364"/>
    </row>
    <row r="136" spans="2:27" x14ac:dyDescent="0.25">
      <c r="B136" s="364" t="s">
        <v>914</v>
      </c>
      <c r="C136" s="364" t="s">
        <v>506</v>
      </c>
      <c r="D136" s="364" t="s">
        <v>507</v>
      </c>
      <c r="E136" s="364" t="s">
        <v>945</v>
      </c>
      <c r="F136" s="364">
        <v>1</v>
      </c>
      <c r="G136" s="364">
        <v>0</v>
      </c>
      <c r="H136" s="364">
        <v>0</v>
      </c>
      <c r="I136" s="364">
        <v>0</v>
      </c>
      <c r="J136" s="364">
        <v>0</v>
      </c>
      <c r="K136" s="364">
        <v>0</v>
      </c>
      <c r="L136" s="364">
        <v>0</v>
      </c>
      <c r="M136" s="364">
        <v>7</v>
      </c>
      <c r="N136" s="364">
        <v>35</v>
      </c>
      <c r="O136" s="364">
        <v>0</v>
      </c>
      <c r="P136" s="364">
        <v>0</v>
      </c>
      <c r="Q136" s="364">
        <v>0</v>
      </c>
      <c r="R136" s="364">
        <v>0</v>
      </c>
      <c r="S136" s="364">
        <v>0</v>
      </c>
      <c r="T136" s="364">
        <v>0</v>
      </c>
      <c r="U136" s="364">
        <v>0</v>
      </c>
      <c r="V136" s="364">
        <v>1</v>
      </c>
      <c r="W136" s="364">
        <v>35</v>
      </c>
      <c r="X136" s="364">
        <v>0</v>
      </c>
      <c r="Y136" s="364">
        <v>49365.97</v>
      </c>
      <c r="Z136" s="364"/>
      <c r="AA136" s="364"/>
    </row>
    <row r="137" spans="2:27" x14ac:dyDescent="0.25">
      <c r="B137" s="364" t="s">
        <v>914</v>
      </c>
      <c r="C137" s="364" t="s">
        <v>510</v>
      </c>
      <c r="D137" s="364" t="s">
        <v>511</v>
      </c>
      <c r="E137" s="364" t="s">
        <v>946</v>
      </c>
      <c r="F137" s="364">
        <v>1</v>
      </c>
      <c r="G137" s="364">
        <v>0</v>
      </c>
      <c r="H137" s="364">
        <v>0</v>
      </c>
      <c r="I137" s="364">
        <v>0</v>
      </c>
      <c r="J137" s="364">
        <v>0</v>
      </c>
      <c r="K137" s="364">
        <v>0</v>
      </c>
      <c r="L137" s="364">
        <v>0</v>
      </c>
      <c r="M137" s="364">
        <v>7</v>
      </c>
      <c r="N137" s="364">
        <v>35</v>
      </c>
      <c r="O137" s="364">
        <v>0</v>
      </c>
      <c r="P137" s="364">
        <v>0</v>
      </c>
      <c r="Q137" s="364">
        <v>0</v>
      </c>
      <c r="R137" s="364">
        <v>0</v>
      </c>
      <c r="S137" s="364">
        <v>0</v>
      </c>
      <c r="T137" s="364">
        <v>0</v>
      </c>
      <c r="U137" s="364">
        <v>0</v>
      </c>
      <c r="V137" s="364">
        <v>1</v>
      </c>
      <c r="W137" s="364">
        <v>35</v>
      </c>
      <c r="X137" s="364">
        <v>0</v>
      </c>
      <c r="Y137" s="364">
        <v>49329.5</v>
      </c>
      <c r="Z137" s="364"/>
      <c r="AA137" s="364"/>
    </row>
    <row r="138" spans="2:27" x14ac:dyDescent="0.25">
      <c r="B138" s="364" t="s">
        <v>914</v>
      </c>
      <c r="C138" s="364" t="s">
        <v>450</v>
      </c>
      <c r="D138" s="364" t="s">
        <v>451</v>
      </c>
      <c r="E138" s="364" t="s">
        <v>947</v>
      </c>
      <c r="F138" s="364">
        <v>1</v>
      </c>
      <c r="G138" s="364">
        <v>0</v>
      </c>
      <c r="H138" s="364">
        <v>0</v>
      </c>
      <c r="I138" s="364">
        <v>0</v>
      </c>
      <c r="J138" s="364">
        <v>0</v>
      </c>
      <c r="K138" s="364">
        <v>0</v>
      </c>
      <c r="L138" s="364">
        <v>0</v>
      </c>
      <c r="M138" s="364">
        <v>7</v>
      </c>
      <c r="N138" s="364">
        <v>35</v>
      </c>
      <c r="O138" s="364">
        <v>0</v>
      </c>
      <c r="P138" s="364">
        <v>0</v>
      </c>
      <c r="Q138" s="364">
        <v>0</v>
      </c>
      <c r="R138" s="364">
        <v>0</v>
      </c>
      <c r="S138" s="364">
        <v>0</v>
      </c>
      <c r="T138" s="364">
        <v>0</v>
      </c>
      <c r="U138" s="364">
        <v>0</v>
      </c>
      <c r="V138" s="364">
        <v>1</v>
      </c>
      <c r="W138" s="364">
        <v>35</v>
      </c>
      <c r="X138" s="364">
        <v>0</v>
      </c>
      <c r="Y138" s="364">
        <v>37676.239999999998</v>
      </c>
      <c r="Z138" s="364"/>
      <c r="AA138" s="364"/>
    </row>
    <row r="139" spans="2:27" x14ac:dyDescent="0.25">
      <c r="B139" s="364" t="s">
        <v>914</v>
      </c>
      <c r="C139" s="364" t="s">
        <v>420</v>
      </c>
      <c r="D139" s="364" t="s">
        <v>421</v>
      </c>
      <c r="E139" s="364" t="s">
        <v>948</v>
      </c>
      <c r="F139" s="364">
        <v>1</v>
      </c>
      <c r="G139" s="364">
        <v>0</v>
      </c>
      <c r="H139" s="364">
        <v>0</v>
      </c>
      <c r="I139" s="364">
        <v>0</v>
      </c>
      <c r="J139" s="364">
        <v>0</v>
      </c>
      <c r="K139" s="364">
        <v>0</v>
      </c>
      <c r="L139" s="364">
        <v>0</v>
      </c>
      <c r="M139" s="364">
        <v>7</v>
      </c>
      <c r="N139" s="364">
        <v>35</v>
      </c>
      <c r="O139" s="364">
        <v>0</v>
      </c>
      <c r="P139" s="364">
        <v>0</v>
      </c>
      <c r="Q139" s="364">
        <v>0</v>
      </c>
      <c r="R139" s="364">
        <v>0</v>
      </c>
      <c r="S139" s="364">
        <v>0</v>
      </c>
      <c r="T139" s="364">
        <v>0</v>
      </c>
      <c r="U139" s="364">
        <v>0</v>
      </c>
      <c r="V139" s="364">
        <v>1</v>
      </c>
      <c r="W139" s="364">
        <v>35</v>
      </c>
      <c r="X139" s="364">
        <v>0</v>
      </c>
      <c r="Y139" s="364">
        <v>43022.51</v>
      </c>
      <c r="Z139" s="364"/>
      <c r="AA139" s="364"/>
    </row>
    <row r="140" spans="2:27" x14ac:dyDescent="0.25">
      <c r="B140" s="364" t="s">
        <v>914</v>
      </c>
      <c r="C140" s="364" t="s">
        <v>456</v>
      </c>
      <c r="D140" s="364" t="s">
        <v>457</v>
      </c>
      <c r="E140" s="364" t="s">
        <v>949</v>
      </c>
      <c r="F140" s="364">
        <v>1</v>
      </c>
      <c r="G140" s="364">
        <v>0</v>
      </c>
      <c r="H140" s="364">
        <v>0</v>
      </c>
      <c r="I140" s="364">
        <v>0</v>
      </c>
      <c r="J140" s="364">
        <v>0</v>
      </c>
      <c r="K140" s="364">
        <v>0</v>
      </c>
      <c r="L140" s="364">
        <v>0</v>
      </c>
      <c r="M140" s="364">
        <v>7</v>
      </c>
      <c r="N140" s="364">
        <v>35</v>
      </c>
      <c r="O140" s="364">
        <v>0</v>
      </c>
      <c r="P140" s="364">
        <v>0</v>
      </c>
      <c r="Q140" s="364">
        <v>0</v>
      </c>
      <c r="R140" s="364">
        <v>0</v>
      </c>
      <c r="S140" s="364">
        <v>0</v>
      </c>
      <c r="T140" s="364">
        <v>0</v>
      </c>
      <c r="U140" s="364">
        <v>0</v>
      </c>
      <c r="V140" s="364">
        <v>1</v>
      </c>
      <c r="W140" s="364">
        <v>35</v>
      </c>
      <c r="X140" s="364">
        <v>0</v>
      </c>
      <c r="Y140" s="364">
        <v>43223.09</v>
      </c>
      <c r="Z140" s="364"/>
      <c r="AA140" s="364"/>
    </row>
    <row r="141" spans="2:27" x14ac:dyDescent="0.25">
      <c r="B141" s="364" t="s">
        <v>914</v>
      </c>
      <c r="C141" s="364" t="s">
        <v>512</v>
      </c>
      <c r="D141" s="364" t="s">
        <v>513</v>
      </c>
      <c r="E141" s="364" t="s">
        <v>950</v>
      </c>
      <c r="F141" s="364">
        <v>1</v>
      </c>
      <c r="G141" s="364">
        <v>0</v>
      </c>
      <c r="H141" s="364">
        <v>0</v>
      </c>
      <c r="I141" s="364">
        <v>0</v>
      </c>
      <c r="J141" s="364">
        <v>0</v>
      </c>
      <c r="K141" s="364">
        <v>0</v>
      </c>
      <c r="L141" s="364">
        <v>0</v>
      </c>
      <c r="M141" s="364">
        <v>7</v>
      </c>
      <c r="N141" s="364">
        <v>35</v>
      </c>
      <c r="O141" s="364">
        <v>0</v>
      </c>
      <c r="P141" s="364">
        <v>0</v>
      </c>
      <c r="Q141" s="364">
        <v>0</v>
      </c>
      <c r="R141" s="364">
        <v>0</v>
      </c>
      <c r="S141" s="364">
        <v>0</v>
      </c>
      <c r="T141" s="364">
        <v>0</v>
      </c>
      <c r="U141" s="364">
        <v>0</v>
      </c>
      <c r="V141" s="364">
        <v>1</v>
      </c>
      <c r="W141" s="364">
        <v>35</v>
      </c>
      <c r="X141" s="364">
        <v>0</v>
      </c>
      <c r="Y141" s="364">
        <v>44007.74</v>
      </c>
      <c r="Z141" s="364"/>
      <c r="AA141" s="364"/>
    </row>
    <row r="142" spans="2:27" x14ac:dyDescent="0.25">
      <c r="B142" s="364" t="s">
        <v>914</v>
      </c>
      <c r="C142" s="364" t="s">
        <v>586</v>
      </c>
      <c r="D142" s="364" t="s">
        <v>587</v>
      </c>
      <c r="E142" s="364" t="s">
        <v>951</v>
      </c>
      <c r="F142" s="364">
        <v>1</v>
      </c>
      <c r="G142" s="364">
        <v>0</v>
      </c>
      <c r="H142" s="364">
        <v>0</v>
      </c>
      <c r="I142" s="364">
        <v>0</v>
      </c>
      <c r="J142" s="364">
        <v>0</v>
      </c>
      <c r="K142" s="364">
        <v>0</v>
      </c>
      <c r="L142" s="364">
        <v>0</v>
      </c>
      <c r="M142" s="364">
        <v>7</v>
      </c>
      <c r="N142" s="364">
        <v>35</v>
      </c>
      <c r="O142" s="364">
        <v>0</v>
      </c>
      <c r="P142" s="364">
        <v>0</v>
      </c>
      <c r="Q142" s="364">
        <v>0</v>
      </c>
      <c r="R142" s="364">
        <v>0</v>
      </c>
      <c r="S142" s="364">
        <v>0</v>
      </c>
      <c r="T142" s="364">
        <v>0</v>
      </c>
      <c r="U142" s="364">
        <v>0</v>
      </c>
      <c r="V142" s="364">
        <v>1</v>
      </c>
      <c r="W142" s="364">
        <v>35</v>
      </c>
      <c r="X142" s="364">
        <v>0</v>
      </c>
      <c r="Y142" s="364">
        <v>14841.32</v>
      </c>
      <c r="Z142" s="364"/>
      <c r="AA142" s="364"/>
    </row>
    <row r="143" spans="2:27" x14ac:dyDescent="0.25">
      <c r="B143" s="364" t="s">
        <v>914</v>
      </c>
      <c r="C143" s="364" t="s">
        <v>391</v>
      </c>
      <c r="D143" s="364" t="s">
        <v>392</v>
      </c>
      <c r="E143" s="364" t="s">
        <v>952</v>
      </c>
      <c r="F143" s="364">
        <v>1</v>
      </c>
      <c r="G143" s="364">
        <v>0</v>
      </c>
      <c r="H143" s="364">
        <v>0</v>
      </c>
      <c r="I143" s="364">
        <v>0</v>
      </c>
      <c r="J143" s="364">
        <v>0</v>
      </c>
      <c r="K143" s="364">
        <v>0</v>
      </c>
      <c r="L143" s="364">
        <v>0</v>
      </c>
      <c r="M143" s="364">
        <v>7</v>
      </c>
      <c r="N143" s="364">
        <v>35</v>
      </c>
      <c r="O143" s="364">
        <v>0</v>
      </c>
      <c r="P143" s="364">
        <v>0</v>
      </c>
      <c r="Q143" s="364">
        <v>0</v>
      </c>
      <c r="R143" s="364">
        <v>0</v>
      </c>
      <c r="S143" s="364">
        <v>0</v>
      </c>
      <c r="T143" s="364">
        <v>0</v>
      </c>
      <c r="U143" s="364">
        <v>0</v>
      </c>
      <c r="V143" s="364">
        <v>1</v>
      </c>
      <c r="W143" s="364">
        <v>35</v>
      </c>
      <c r="X143" s="364">
        <v>0</v>
      </c>
      <c r="Y143" s="364">
        <v>42232.18</v>
      </c>
      <c r="Z143" s="364"/>
      <c r="AA143" s="364"/>
    </row>
    <row r="144" spans="2:27" x14ac:dyDescent="0.25">
      <c r="B144" s="364" t="s">
        <v>914</v>
      </c>
      <c r="C144" s="364" t="s">
        <v>362</v>
      </c>
      <c r="D144" s="364" t="s">
        <v>363</v>
      </c>
      <c r="E144" s="364" t="s">
        <v>953</v>
      </c>
      <c r="F144" s="364">
        <v>1</v>
      </c>
      <c r="G144" s="364">
        <v>0</v>
      </c>
      <c r="H144" s="364">
        <v>0</v>
      </c>
      <c r="I144" s="364">
        <v>0</v>
      </c>
      <c r="J144" s="364">
        <v>0</v>
      </c>
      <c r="K144" s="364">
        <v>0</v>
      </c>
      <c r="L144" s="364">
        <v>0</v>
      </c>
      <c r="M144" s="364">
        <v>7</v>
      </c>
      <c r="N144" s="364">
        <v>35</v>
      </c>
      <c r="O144" s="364">
        <v>0</v>
      </c>
      <c r="P144" s="364">
        <v>0</v>
      </c>
      <c r="Q144" s="364">
        <v>0</v>
      </c>
      <c r="R144" s="364">
        <v>0</v>
      </c>
      <c r="S144" s="364">
        <v>0</v>
      </c>
      <c r="T144" s="364">
        <v>0</v>
      </c>
      <c r="U144" s="364">
        <v>0</v>
      </c>
      <c r="V144" s="364">
        <v>1</v>
      </c>
      <c r="W144" s="364">
        <v>35</v>
      </c>
      <c r="X144" s="364">
        <v>0</v>
      </c>
      <c r="Y144" s="364">
        <v>44921.25</v>
      </c>
      <c r="Z144" s="364"/>
      <c r="AA144" s="364"/>
    </row>
    <row r="145" spans="2:27" x14ac:dyDescent="0.25">
      <c r="B145" s="364" t="s">
        <v>914</v>
      </c>
      <c r="C145" s="364" t="s">
        <v>478</v>
      </c>
      <c r="D145" s="364" t="s">
        <v>479</v>
      </c>
      <c r="E145" s="364" t="s">
        <v>954</v>
      </c>
      <c r="F145" s="364">
        <v>1</v>
      </c>
      <c r="G145" s="364">
        <v>0</v>
      </c>
      <c r="H145" s="364">
        <v>0</v>
      </c>
      <c r="I145" s="364">
        <v>0</v>
      </c>
      <c r="J145" s="364">
        <v>0</v>
      </c>
      <c r="K145" s="364">
        <v>0</v>
      </c>
      <c r="L145" s="364">
        <v>0</v>
      </c>
      <c r="M145" s="364">
        <v>7</v>
      </c>
      <c r="N145" s="364">
        <v>35</v>
      </c>
      <c r="O145" s="364">
        <v>0</v>
      </c>
      <c r="P145" s="364">
        <v>0</v>
      </c>
      <c r="Q145" s="364">
        <v>0</v>
      </c>
      <c r="R145" s="364">
        <v>0</v>
      </c>
      <c r="S145" s="364">
        <v>0</v>
      </c>
      <c r="T145" s="364">
        <v>0</v>
      </c>
      <c r="U145" s="364">
        <v>0</v>
      </c>
      <c r="V145" s="364">
        <v>1</v>
      </c>
      <c r="W145" s="364">
        <v>35</v>
      </c>
      <c r="X145" s="364">
        <v>0</v>
      </c>
      <c r="Y145" s="364">
        <v>49110.68</v>
      </c>
      <c r="Z145" s="364"/>
      <c r="AA145" s="364"/>
    </row>
    <row r="146" spans="2:27" x14ac:dyDescent="0.25">
      <c r="B146" s="364" t="s">
        <v>914</v>
      </c>
      <c r="C146" s="364" t="s">
        <v>482</v>
      </c>
      <c r="D146" s="364" t="s">
        <v>483</v>
      </c>
      <c r="E146" s="364" t="s">
        <v>955</v>
      </c>
      <c r="F146" s="364">
        <v>1</v>
      </c>
      <c r="G146" s="364">
        <v>0</v>
      </c>
      <c r="H146" s="364">
        <v>0</v>
      </c>
      <c r="I146" s="364">
        <v>0</v>
      </c>
      <c r="J146" s="364">
        <v>0</v>
      </c>
      <c r="K146" s="364">
        <v>0</v>
      </c>
      <c r="L146" s="364">
        <v>0</v>
      </c>
      <c r="M146" s="364">
        <v>7</v>
      </c>
      <c r="N146" s="364">
        <v>35</v>
      </c>
      <c r="O146" s="364">
        <v>0</v>
      </c>
      <c r="P146" s="364">
        <v>0</v>
      </c>
      <c r="Q146" s="364">
        <v>0</v>
      </c>
      <c r="R146" s="364">
        <v>0</v>
      </c>
      <c r="S146" s="364">
        <v>0</v>
      </c>
      <c r="T146" s="364">
        <v>0</v>
      </c>
      <c r="U146" s="364">
        <v>0</v>
      </c>
      <c r="V146" s="364">
        <v>1</v>
      </c>
      <c r="W146" s="364">
        <v>35</v>
      </c>
      <c r="X146" s="364">
        <v>0</v>
      </c>
      <c r="Y146" s="364">
        <v>48964.84</v>
      </c>
      <c r="Z146" s="364"/>
      <c r="AA146" s="364"/>
    </row>
    <row r="147" spans="2:27" x14ac:dyDescent="0.25">
      <c r="B147" s="364" t="s">
        <v>914</v>
      </c>
      <c r="C147" s="364" t="s">
        <v>498</v>
      </c>
      <c r="D147" s="364" t="s">
        <v>499</v>
      </c>
      <c r="E147" s="364" t="s">
        <v>1038</v>
      </c>
      <c r="F147" s="364">
        <v>1</v>
      </c>
      <c r="G147" s="364">
        <v>0</v>
      </c>
      <c r="H147" s="364">
        <v>0</v>
      </c>
      <c r="I147" s="364">
        <v>0</v>
      </c>
      <c r="J147" s="364">
        <v>0</v>
      </c>
      <c r="K147" s="364">
        <v>0</v>
      </c>
      <c r="L147" s="364">
        <v>0</v>
      </c>
      <c r="M147" s="364">
        <v>7</v>
      </c>
      <c r="N147" s="364">
        <v>35</v>
      </c>
      <c r="O147" s="364">
        <v>0</v>
      </c>
      <c r="P147" s="364">
        <v>0</v>
      </c>
      <c r="Q147" s="364">
        <v>0</v>
      </c>
      <c r="R147" s="364">
        <v>0</v>
      </c>
      <c r="S147" s="364">
        <v>0</v>
      </c>
      <c r="T147" s="364">
        <v>0</v>
      </c>
      <c r="U147" s="364">
        <v>0</v>
      </c>
      <c r="V147" s="364">
        <v>1</v>
      </c>
      <c r="W147" s="364">
        <v>35</v>
      </c>
      <c r="X147" s="364">
        <v>0</v>
      </c>
      <c r="Y147" s="364">
        <v>40944.5</v>
      </c>
      <c r="Z147" s="364"/>
      <c r="AA147" s="364"/>
    </row>
    <row r="148" spans="2:27" x14ac:dyDescent="0.25">
      <c r="B148" s="364" t="s">
        <v>914</v>
      </c>
      <c r="C148" s="364" t="s">
        <v>376</v>
      </c>
      <c r="D148" s="364" t="s">
        <v>377</v>
      </c>
      <c r="E148" s="364" t="s">
        <v>1039</v>
      </c>
      <c r="F148" s="364">
        <v>1</v>
      </c>
      <c r="G148" s="364">
        <v>0</v>
      </c>
      <c r="H148" s="364">
        <v>0</v>
      </c>
      <c r="I148" s="364">
        <v>0</v>
      </c>
      <c r="J148" s="364">
        <v>0</v>
      </c>
      <c r="K148" s="364">
        <v>0</v>
      </c>
      <c r="L148" s="364">
        <v>0</v>
      </c>
      <c r="M148" s="364">
        <v>7</v>
      </c>
      <c r="N148" s="364">
        <v>35</v>
      </c>
      <c r="O148" s="364">
        <v>0</v>
      </c>
      <c r="P148" s="364">
        <v>0</v>
      </c>
      <c r="Q148" s="364">
        <v>0</v>
      </c>
      <c r="R148" s="364">
        <v>0</v>
      </c>
      <c r="S148" s="364">
        <v>0</v>
      </c>
      <c r="T148" s="364">
        <v>0</v>
      </c>
      <c r="U148" s="364">
        <v>0</v>
      </c>
      <c r="V148" s="364">
        <v>1</v>
      </c>
      <c r="W148" s="364">
        <v>35</v>
      </c>
      <c r="X148" s="364">
        <v>0</v>
      </c>
      <c r="Y148" s="364">
        <v>41720.129999999997</v>
      </c>
      <c r="Z148" s="364"/>
      <c r="AA148" s="364"/>
    </row>
    <row r="149" spans="2:27" x14ac:dyDescent="0.25">
      <c r="B149" s="364" t="s">
        <v>914</v>
      </c>
      <c r="C149" s="364" t="s">
        <v>336</v>
      </c>
      <c r="D149" s="364" t="s">
        <v>337</v>
      </c>
      <c r="E149" s="364" t="s">
        <v>1040</v>
      </c>
      <c r="F149" s="364">
        <v>1</v>
      </c>
      <c r="G149" s="364">
        <v>0</v>
      </c>
      <c r="H149" s="364">
        <v>0</v>
      </c>
      <c r="I149" s="364">
        <v>0</v>
      </c>
      <c r="J149" s="364">
        <v>0</v>
      </c>
      <c r="K149" s="364">
        <v>0</v>
      </c>
      <c r="L149" s="364">
        <v>0</v>
      </c>
      <c r="M149" s="364">
        <v>7</v>
      </c>
      <c r="N149" s="364">
        <v>35</v>
      </c>
      <c r="O149" s="364">
        <v>0</v>
      </c>
      <c r="P149" s="364">
        <v>0</v>
      </c>
      <c r="Q149" s="364">
        <v>0</v>
      </c>
      <c r="R149" s="364">
        <v>0</v>
      </c>
      <c r="S149" s="364">
        <v>0</v>
      </c>
      <c r="T149" s="364">
        <v>0</v>
      </c>
      <c r="U149" s="364">
        <v>0</v>
      </c>
      <c r="V149" s="364">
        <v>1</v>
      </c>
      <c r="W149" s="364">
        <v>35</v>
      </c>
      <c r="X149" s="364">
        <v>0</v>
      </c>
      <c r="Y149" s="364">
        <v>41931.629999999997</v>
      </c>
      <c r="Z149" s="364"/>
      <c r="AA149" s="364"/>
    </row>
    <row r="150" spans="2:27" x14ac:dyDescent="0.25">
      <c r="B150" s="364" t="s">
        <v>914</v>
      </c>
      <c r="C150" s="364" t="s">
        <v>330</v>
      </c>
      <c r="D150" s="364" t="s">
        <v>331</v>
      </c>
      <c r="E150" s="364" t="s">
        <v>1354</v>
      </c>
      <c r="F150" s="364">
        <v>1</v>
      </c>
      <c r="G150" s="364">
        <v>0</v>
      </c>
      <c r="H150" s="364">
        <v>0</v>
      </c>
      <c r="I150" s="364">
        <v>0</v>
      </c>
      <c r="J150" s="364">
        <v>0</v>
      </c>
      <c r="K150" s="364">
        <v>0</v>
      </c>
      <c r="L150" s="364">
        <v>0</v>
      </c>
      <c r="M150" s="364">
        <v>7</v>
      </c>
      <c r="N150" s="364">
        <v>35</v>
      </c>
      <c r="O150" s="364">
        <v>0</v>
      </c>
      <c r="P150" s="364">
        <v>0</v>
      </c>
      <c r="Q150" s="364">
        <v>0</v>
      </c>
      <c r="R150" s="364">
        <v>0</v>
      </c>
      <c r="S150" s="364">
        <v>0</v>
      </c>
      <c r="T150" s="364">
        <v>0</v>
      </c>
      <c r="U150" s="364">
        <v>0</v>
      </c>
      <c r="V150" s="364">
        <v>1</v>
      </c>
      <c r="W150" s="364">
        <v>35</v>
      </c>
      <c r="X150" s="364">
        <v>0</v>
      </c>
      <c r="Y150" s="364">
        <v>43889.42</v>
      </c>
      <c r="Z150" s="364"/>
      <c r="AA150" s="364"/>
    </row>
    <row r="151" spans="2:27" x14ac:dyDescent="0.25">
      <c r="B151" s="364" t="s">
        <v>914</v>
      </c>
      <c r="C151" s="364" t="s">
        <v>650</v>
      </c>
      <c r="D151" s="364" t="s">
        <v>651</v>
      </c>
      <c r="E151" s="364" t="s">
        <v>1041</v>
      </c>
      <c r="F151" s="364">
        <v>1</v>
      </c>
      <c r="G151" s="364">
        <v>0</v>
      </c>
      <c r="H151" s="364">
        <v>0</v>
      </c>
      <c r="I151" s="364">
        <v>0</v>
      </c>
      <c r="J151" s="364">
        <v>0</v>
      </c>
      <c r="K151" s="364">
        <v>0</v>
      </c>
      <c r="L151" s="364">
        <v>0</v>
      </c>
      <c r="M151" s="364">
        <v>7</v>
      </c>
      <c r="N151" s="364">
        <v>35</v>
      </c>
      <c r="O151" s="364">
        <v>0</v>
      </c>
      <c r="P151" s="364">
        <v>0</v>
      </c>
      <c r="Q151" s="364">
        <v>0</v>
      </c>
      <c r="R151" s="364">
        <v>0</v>
      </c>
      <c r="S151" s="364">
        <v>0</v>
      </c>
      <c r="T151" s="364">
        <v>0</v>
      </c>
      <c r="U151" s="364">
        <v>0</v>
      </c>
      <c r="V151" s="364">
        <v>1</v>
      </c>
      <c r="W151" s="364">
        <v>35</v>
      </c>
      <c r="X151" s="364">
        <v>0</v>
      </c>
      <c r="Y151" s="364">
        <v>50609.86</v>
      </c>
      <c r="Z151" s="364"/>
      <c r="AA151" s="364"/>
    </row>
    <row r="152" spans="2:27" x14ac:dyDescent="0.25">
      <c r="B152" s="364" t="s">
        <v>914</v>
      </c>
      <c r="C152" s="364" t="s">
        <v>328</v>
      </c>
      <c r="D152" s="364" t="s">
        <v>329</v>
      </c>
      <c r="E152" s="364" t="s">
        <v>1379</v>
      </c>
      <c r="F152" s="364">
        <v>1</v>
      </c>
      <c r="G152" s="364">
        <v>0</v>
      </c>
      <c r="H152" s="364">
        <v>0</v>
      </c>
      <c r="I152" s="364">
        <v>0</v>
      </c>
      <c r="J152" s="364">
        <v>0</v>
      </c>
      <c r="K152" s="364">
        <v>0</v>
      </c>
      <c r="L152" s="364">
        <v>0</v>
      </c>
      <c r="M152" s="364">
        <v>7</v>
      </c>
      <c r="N152" s="364">
        <v>35</v>
      </c>
      <c r="O152" s="364">
        <v>0</v>
      </c>
      <c r="P152" s="364">
        <v>0</v>
      </c>
      <c r="Q152" s="364">
        <v>0</v>
      </c>
      <c r="R152" s="364">
        <v>0</v>
      </c>
      <c r="S152" s="364">
        <v>0</v>
      </c>
      <c r="T152" s="364">
        <v>0</v>
      </c>
      <c r="U152" s="364">
        <v>0</v>
      </c>
      <c r="V152" s="364">
        <v>1</v>
      </c>
      <c r="W152" s="364">
        <v>35</v>
      </c>
      <c r="X152" s="364">
        <v>0</v>
      </c>
      <c r="Y152" s="364">
        <v>43695.3</v>
      </c>
      <c r="Z152" s="364"/>
      <c r="AA152" s="364"/>
    </row>
    <row r="153" spans="2:27" x14ac:dyDescent="0.25">
      <c r="B153" s="364" t="s">
        <v>914</v>
      </c>
      <c r="C153" s="364" t="s">
        <v>732</v>
      </c>
      <c r="D153" s="364" t="s">
        <v>733</v>
      </c>
      <c r="E153" s="364" t="s">
        <v>1042</v>
      </c>
      <c r="F153" s="364">
        <v>1</v>
      </c>
      <c r="G153" s="364">
        <v>0</v>
      </c>
      <c r="H153" s="364">
        <v>0</v>
      </c>
      <c r="I153" s="364">
        <v>0</v>
      </c>
      <c r="J153" s="364">
        <v>0</v>
      </c>
      <c r="K153" s="364">
        <v>0</v>
      </c>
      <c r="L153" s="364">
        <v>0</v>
      </c>
      <c r="M153" s="364">
        <v>7</v>
      </c>
      <c r="N153" s="364">
        <v>35</v>
      </c>
      <c r="O153" s="364">
        <v>0</v>
      </c>
      <c r="P153" s="364">
        <v>0</v>
      </c>
      <c r="Q153" s="364">
        <v>0</v>
      </c>
      <c r="R153" s="364">
        <v>0</v>
      </c>
      <c r="S153" s="364">
        <v>0</v>
      </c>
      <c r="T153" s="364">
        <v>0</v>
      </c>
      <c r="U153" s="364">
        <v>0</v>
      </c>
      <c r="V153" s="364">
        <v>1</v>
      </c>
      <c r="W153" s="364">
        <v>35</v>
      </c>
      <c r="X153" s="364">
        <v>0</v>
      </c>
      <c r="Y153" s="364">
        <v>51881.599999999999</v>
      </c>
      <c r="Z153" s="364"/>
      <c r="AA153" s="364"/>
    </row>
    <row r="154" spans="2:27" x14ac:dyDescent="0.25">
      <c r="B154" s="364" t="s">
        <v>914</v>
      </c>
      <c r="C154" s="364" t="s">
        <v>387</v>
      </c>
      <c r="D154" s="364" t="s">
        <v>388</v>
      </c>
      <c r="E154" s="364" t="s">
        <v>1043</v>
      </c>
      <c r="F154" s="364">
        <v>1</v>
      </c>
      <c r="G154" s="364">
        <v>0</v>
      </c>
      <c r="H154" s="364">
        <v>0</v>
      </c>
      <c r="I154" s="364">
        <v>0</v>
      </c>
      <c r="J154" s="364">
        <v>0</v>
      </c>
      <c r="K154" s="364">
        <v>0</v>
      </c>
      <c r="L154" s="364">
        <v>0</v>
      </c>
      <c r="M154" s="364">
        <v>7</v>
      </c>
      <c r="N154" s="364">
        <v>35</v>
      </c>
      <c r="O154" s="364">
        <v>0</v>
      </c>
      <c r="P154" s="364">
        <v>0</v>
      </c>
      <c r="Q154" s="364">
        <v>0</v>
      </c>
      <c r="R154" s="364">
        <v>0</v>
      </c>
      <c r="S154" s="364">
        <v>0</v>
      </c>
      <c r="T154" s="364">
        <v>0</v>
      </c>
      <c r="U154" s="364">
        <v>0</v>
      </c>
      <c r="V154" s="364">
        <v>1</v>
      </c>
      <c r="W154" s="364">
        <v>35</v>
      </c>
      <c r="X154" s="364">
        <v>0</v>
      </c>
      <c r="Y154" s="364">
        <v>38943.68</v>
      </c>
      <c r="Z154" s="364"/>
      <c r="AA154" s="364"/>
    </row>
    <row r="155" spans="2:27" x14ac:dyDescent="0.25">
      <c r="B155" s="364" t="s">
        <v>914</v>
      </c>
      <c r="C155" s="364" t="s">
        <v>744</v>
      </c>
      <c r="D155" s="364" t="s">
        <v>745</v>
      </c>
      <c r="E155" s="364" t="s">
        <v>1044</v>
      </c>
      <c r="F155" s="364">
        <v>1</v>
      </c>
      <c r="G155" s="364">
        <v>0</v>
      </c>
      <c r="H155" s="364">
        <v>0</v>
      </c>
      <c r="I155" s="364">
        <v>0</v>
      </c>
      <c r="J155" s="364">
        <v>0</v>
      </c>
      <c r="K155" s="364">
        <v>0</v>
      </c>
      <c r="L155" s="364">
        <v>0</v>
      </c>
      <c r="M155" s="364">
        <v>7</v>
      </c>
      <c r="N155" s="364">
        <v>35</v>
      </c>
      <c r="O155" s="364">
        <v>0</v>
      </c>
      <c r="P155" s="364">
        <v>0</v>
      </c>
      <c r="Q155" s="364">
        <v>0</v>
      </c>
      <c r="R155" s="364">
        <v>0</v>
      </c>
      <c r="S155" s="364">
        <v>0</v>
      </c>
      <c r="T155" s="364">
        <v>0</v>
      </c>
      <c r="U155" s="364">
        <v>0</v>
      </c>
      <c r="V155" s="364">
        <v>1</v>
      </c>
      <c r="W155" s="364">
        <v>35</v>
      </c>
      <c r="X155" s="364">
        <v>0</v>
      </c>
      <c r="Y155" s="364">
        <v>70643.490000000005</v>
      </c>
      <c r="Z155" s="364"/>
      <c r="AA155" s="364"/>
    </row>
    <row r="156" spans="2:27" x14ac:dyDescent="0.25">
      <c r="B156" s="364" t="s">
        <v>914</v>
      </c>
      <c r="C156" s="364" t="s">
        <v>624</v>
      </c>
      <c r="D156" s="364" t="s">
        <v>625</v>
      </c>
      <c r="E156" s="364" t="s">
        <v>1045</v>
      </c>
      <c r="F156" s="364">
        <v>1</v>
      </c>
      <c r="G156" s="364">
        <v>0</v>
      </c>
      <c r="H156" s="364">
        <v>0</v>
      </c>
      <c r="I156" s="364">
        <v>0</v>
      </c>
      <c r="J156" s="364">
        <v>0</v>
      </c>
      <c r="K156" s="364">
        <v>0</v>
      </c>
      <c r="L156" s="364">
        <v>0</v>
      </c>
      <c r="M156" s="364">
        <v>7</v>
      </c>
      <c r="N156" s="364">
        <v>35</v>
      </c>
      <c r="O156" s="364">
        <v>0</v>
      </c>
      <c r="P156" s="364">
        <v>0</v>
      </c>
      <c r="Q156" s="364">
        <v>0</v>
      </c>
      <c r="R156" s="364">
        <v>0</v>
      </c>
      <c r="S156" s="364">
        <v>0</v>
      </c>
      <c r="T156" s="364">
        <v>0</v>
      </c>
      <c r="U156" s="364">
        <v>0</v>
      </c>
      <c r="V156" s="364">
        <v>1</v>
      </c>
      <c r="W156" s="364">
        <v>35</v>
      </c>
      <c r="X156" s="364">
        <v>0</v>
      </c>
      <c r="Y156" s="364">
        <v>45391.1</v>
      </c>
      <c r="Z156" s="364"/>
      <c r="AA156" s="364"/>
    </row>
    <row r="157" spans="2:27" x14ac:dyDescent="0.25">
      <c r="B157" s="364" t="s">
        <v>914</v>
      </c>
      <c r="C157" s="364" t="s">
        <v>332</v>
      </c>
      <c r="D157" s="364" t="s">
        <v>333</v>
      </c>
      <c r="E157" s="364" t="s">
        <v>1046</v>
      </c>
      <c r="F157" s="364">
        <v>1</v>
      </c>
      <c r="G157" s="364">
        <v>0</v>
      </c>
      <c r="H157" s="364">
        <v>0</v>
      </c>
      <c r="I157" s="364">
        <v>0</v>
      </c>
      <c r="J157" s="364">
        <v>0</v>
      </c>
      <c r="K157" s="364">
        <v>0</v>
      </c>
      <c r="L157" s="364">
        <v>0</v>
      </c>
      <c r="M157" s="364">
        <v>7</v>
      </c>
      <c r="N157" s="364">
        <v>35</v>
      </c>
      <c r="O157" s="364">
        <v>0</v>
      </c>
      <c r="P157" s="364">
        <v>0</v>
      </c>
      <c r="Q157" s="364">
        <v>0</v>
      </c>
      <c r="R157" s="364">
        <v>0</v>
      </c>
      <c r="S157" s="364">
        <v>0</v>
      </c>
      <c r="T157" s="364">
        <v>0</v>
      </c>
      <c r="U157" s="364">
        <v>0</v>
      </c>
      <c r="V157" s="364">
        <v>1</v>
      </c>
      <c r="W157" s="364">
        <v>35</v>
      </c>
      <c r="X157" s="364">
        <v>0</v>
      </c>
      <c r="Y157" s="364">
        <v>38911.120000000003</v>
      </c>
      <c r="Z157" s="364"/>
      <c r="AA157" s="364"/>
    </row>
    <row r="158" spans="2:27" x14ac:dyDescent="0.25">
      <c r="B158" s="364" t="s">
        <v>914</v>
      </c>
      <c r="C158" s="364" t="s">
        <v>736</v>
      </c>
      <c r="D158" s="364" t="s">
        <v>737</v>
      </c>
      <c r="E158" s="364" t="s">
        <v>1047</v>
      </c>
      <c r="F158" s="364">
        <v>1</v>
      </c>
      <c r="G158" s="364">
        <v>0</v>
      </c>
      <c r="H158" s="364">
        <v>0</v>
      </c>
      <c r="I158" s="364">
        <v>0</v>
      </c>
      <c r="J158" s="364">
        <v>0</v>
      </c>
      <c r="K158" s="364">
        <v>0</v>
      </c>
      <c r="L158" s="364">
        <v>0</v>
      </c>
      <c r="M158" s="364">
        <v>7</v>
      </c>
      <c r="N158" s="364">
        <v>35</v>
      </c>
      <c r="O158" s="364">
        <v>0</v>
      </c>
      <c r="P158" s="364">
        <v>0</v>
      </c>
      <c r="Q158" s="364">
        <v>0</v>
      </c>
      <c r="R158" s="364">
        <v>0</v>
      </c>
      <c r="S158" s="364">
        <v>0</v>
      </c>
      <c r="T158" s="364">
        <v>0</v>
      </c>
      <c r="U158" s="364">
        <v>0</v>
      </c>
      <c r="V158" s="364">
        <v>1</v>
      </c>
      <c r="W158" s="364">
        <v>35</v>
      </c>
      <c r="X158" s="364">
        <v>0</v>
      </c>
      <c r="Y158" s="364">
        <v>51869.1</v>
      </c>
      <c r="Z158" s="364"/>
      <c r="AA158" s="364"/>
    </row>
    <row r="159" spans="2:27" x14ac:dyDescent="0.25">
      <c r="B159" s="364" t="s">
        <v>914</v>
      </c>
      <c r="C159" s="364" t="s">
        <v>476</v>
      </c>
      <c r="D159" s="364" t="s">
        <v>477</v>
      </c>
      <c r="E159" s="364" t="s">
        <v>1048</v>
      </c>
      <c r="F159" s="364">
        <v>1</v>
      </c>
      <c r="G159" s="364">
        <v>0</v>
      </c>
      <c r="H159" s="364">
        <v>0</v>
      </c>
      <c r="I159" s="364">
        <v>0</v>
      </c>
      <c r="J159" s="364">
        <v>0</v>
      </c>
      <c r="K159" s="364">
        <v>0</v>
      </c>
      <c r="L159" s="364">
        <v>0</v>
      </c>
      <c r="M159" s="364">
        <v>7</v>
      </c>
      <c r="N159" s="364">
        <v>35</v>
      </c>
      <c r="O159" s="364">
        <v>0</v>
      </c>
      <c r="P159" s="364">
        <v>0</v>
      </c>
      <c r="Q159" s="364">
        <v>0</v>
      </c>
      <c r="R159" s="364">
        <v>0</v>
      </c>
      <c r="S159" s="364">
        <v>0</v>
      </c>
      <c r="T159" s="364">
        <v>0</v>
      </c>
      <c r="U159" s="364">
        <v>0</v>
      </c>
      <c r="V159" s="364">
        <v>1</v>
      </c>
      <c r="W159" s="364">
        <v>35</v>
      </c>
      <c r="X159" s="364">
        <v>0</v>
      </c>
      <c r="Y159" s="364">
        <v>45391.1</v>
      </c>
      <c r="Z159" s="364"/>
      <c r="AA159" s="364"/>
    </row>
    <row r="160" spans="2:27" x14ac:dyDescent="0.25">
      <c r="B160" s="364" t="s">
        <v>914</v>
      </c>
      <c r="C160" s="364" t="s">
        <v>442</v>
      </c>
      <c r="D160" s="364" t="s">
        <v>443</v>
      </c>
      <c r="E160" s="364" t="s">
        <v>1049</v>
      </c>
      <c r="F160" s="364">
        <v>1</v>
      </c>
      <c r="G160" s="364">
        <v>0</v>
      </c>
      <c r="H160" s="364">
        <v>0</v>
      </c>
      <c r="I160" s="364">
        <v>0</v>
      </c>
      <c r="J160" s="364">
        <v>0</v>
      </c>
      <c r="K160" s="364">
        <v>0</v>
      </c>
      <c r="L160" s="364">
        <v>0</v>
      </c>
      <c r="M160" s="364">
        <v>7</v>
      </c>
      <c r="N160" s="364">
        <v>35</v>
      </c>
      <c r="O160" s="364">
        <v>0</v>
      </c>
      <c r="P160" s="364">
        <v>0</v>
      </c>
      <c r="Q160" s="364">
        <v>0</v>
      </c>
      <c r="R160" s="364">
        <v>0</v>
      </c>
      <c r="S160" s="364">
        <v>0</v>
      </c>
      <c r="T160" s="364">
        <v>0</v>
      </c>
      <c r="U160" s="364">
        <v>0</v>
      </c>
      <c r="V160" s="364">
        <v>1</v>
      </c>
      <c r="W160" s="364">
        <v>35</v>
      </c>
      <c r="X160" s="364">
        <v>0</v>
      </c>
      <c r="Y160" s="364">
        <v>38944.28</v>
      </c>
      <c r="Z160" s="364"/>
      <c r="AA160" s="364"/>
    </row>
    <row r="161" spans="2:27" x14ac:dyDescent="0.25">
      <c r="B161" s="364" t="s">
        <v>914</v>
      </c>
      <c r="C161" s="364" t="s">
        <v>344</v>
      </c>
      <c r="D161" s="364" t="s">
        <v>345</v>
      </c>
      <c r="E161" s="364" t="s">
        <v>1050</v>
      </c>
      <c r="F161" s="364">
        <v>1</v>
      </c>
      <c r="G161" s="364">
        <v>0</v>
      </c>
      <c r="H161" s="364">
        <v>0</v>
      </c>
      <c r="I161" s="364">
        <v>0</v>
      </c>
      <c r="J161" s="364">
        <v>0</v>
      </c>
      <c r="K161" s="364">
        <v>0</v>
      </c>
      <c r="L161" s="364">
        <v>0</v>
      </c>
      <c r="M161" s="364">
        <v>7</v>
      </c>
      <c r="N161" s="364">
        <v>35</v>
      </c>
      <c r="O161" s="364">
        <v>0</v>
      </c>
      <c r="P161" s="364">
        <v>0</v>
      </c>
      <c r="Q161" s="364">
        <v>0</v>
      </c>
      <c r="R161" s="364">
        <v>0</v>
      </c>
      <c r="S161" s="364">
        <v>0</v>
      </c>
      <c r="T161" s="364">
        <v>0</v>
      </c>
      <c r="U161" s="364">
        <v>0</v>
      </c>
      <c r="V161" s="364">
        <v>1</v>
      </c>
      <c r="W161" s="364">
        <v>35</v>
      </c>
      <c r="X161" s="364">
        <v>0</v>
      </c>
      <c r="Y161" s="364">
        <v>39445.68</v>
      </c>
      <c r="Z161" s="364"/>
      <c r="AA161" s="364"/>
    </row>
    <row r="162" spans="2:27" x14ac:dyDescent="0.25">
      <c r="B162" s="364" t="s">
        <v>914</v>
      </c>
      <c r="C162" s="364" t="s">
        <v>610</v>
      </c>
      <c r="D162" s="364" t="s">
        <v>611</v>
      </c>
      <c r="E162" s="364" t="s">
        <v>1051</v>
      </c>
      <c r="F162" s="364">
        <v>1</v>
      </c>
      <c r="G162" s="364">
        <v>0</v>
      </c>
      <c r="H162" s="364">
        <v>0</v>
      </c>
      <c r="I162" s="364">
        <v>0</v>
      </c>
      <c r="J162" s="364">
        <v>0</v>
      </c>
      <c r="K162" s="364">
        <v>0</v>
      </c>
      <c r="L162" s="364">
        <v>0</v>
      </c>
      <c r="M162" s="364">
        <v>7</v>
      </c>
      <c r="N162" s="364">
        <v>35</v>
      </c>
      <c r="O162" s="364">
        <v>0</v>
      </c>
      <c r="P162" s="364">
        <v>0</v>
      </c>
      <c r="Q162" s="364">
        <v>0</v>
      </c>
      <c r="R162" s="364">
        <v>0</v>
      </c>
      <c r="S162" s="364">
        <v>0</v>
      </c>
      <c r="T162" s="364">
        <v>0</v>
      </c>
      <c r="U162" s="364">
        <v>0</v>
      </c>
      <c r="V162" s="364">
        <v>1</v>
      </c>
      <c r="W162" s="364">
        <v>35</v>
      </c>
      <c r="X162" s="364">
        <v>0</v>
      </c>
      <c r="Y162" s="364">
        <v>45172.28</v>
      </c>
      <c r="Z162" s="364"/>
      <c r="AA162" s="364"/>
    </row>
    <row r="163" spans="2:27" x14ac:dyDescent="0.25">
      <c r="B163" s="364" t="s">
        <v>914</v>
      </c>
      <c r="C163" s="364" t="s">
        <v>608</v>
      </c>
      <c r="D163" s="364" t="s">
        <v>609</v>
      </c>
      <c r="E163" s="364" t="s">
        <v>1052</v>
      </c>
      <c r="F163" s="364">
        <v>1</v>
      </c>
      <c r="G163" s="364">
        <v>0</v>
      </c>
      <c r="H163" s="364">
        <v>0</v>
      </c>
      <c r="I163" s="364">
        <v>0</v>
      </c>
      <c r="J163" s="364">
        <v>0</v>
      </c>
      <c r="K163" s="364">
        <v>0</v>
      </c>
      <c r="L163" s="364">
        <v>0</v>
      </c>
      <c r="M163" s="364">
        <v>7</v>
      </c>
      <c r="N163" s="364">
        <v>35</v>
      </c>
      <c r="O163" s="364">
        <v>0</v>
      </c>
      <c r="P163" s="364">
        <v>0</v>
      </c>
      <c r="Q163" s="364">
        <v>0</v>
      </c>
      <c r="R163" s="364">
        <v>0</v>
      </c>
      <c r="S163" s="364">
        <v>0</v>
      </c>
      <c r="T163" s="364">
        <v>0</v>
      </c>
      <c r="U163" s="364">
        <v>0</v>
      </c>
      <c r="V163" s="364">
        <v>1</v>
      </c>
      <c r="W163" s="364">
        <v>35</v>
      </c>
      <c r="X163" s="364">
        <v>0</v>
      </c>
      <c r="Y163" s="364">
        <v>45172.28</v>
      </c>
      <c r="Z163" s="364"/>
      <c r="AA163" s="364"/>
    </row>
    <row r="164" spans="2:27" x14ac:dyDescent="0.25">
      <c r="B164" s="364" t="s">
        <v>914</v>
      </c>
      <c r="C164" s="364" t="s">
        <v>604</v>
      </c>
      <c r="D164" s="364" t="s">
        <v>605</v>
      </c>
      <c r="E164" s="364" t="s">
        <v>1053</v>
      </c>
      <c r="F164" s="364">
        <v>1</v>
      </c>
      <c r="G164" s="364">
        <v>0</v>
      </c>
      <c r="H164" s="364">
        <v>0</v>
      </c>
      <c r="I164" s="364">
        <v>0</v>
      </c>
      <c r="J164" s="364">
        <v>0</v>
      </c>
      <c r="K164" s="364">
        <v>0</v>
      </c>
      <c r="L164" s="364">
        <v>0</v>
      </c>
      <c r="M164" s="364">
        <v>7</v>
      </c>
      <c r="N164" s="364">
        <v>35</v>
      </c>
      <c r="O164" s="364">
        <v>0</v>
      </c>
      <c r="P164" s="364">
        <v>0</v>
      </c>
      <c r="Q164" s="364">
        <v>0</v>
      </c>
      <c r="R164" s="364">
        <v>0</v>
      </c>
      <c r="S164" s="364">
        <v>0</v>
      </c>
      <c r="T164" s="364">
        <v>0</v>
      </c>
      <c r="U164" s="364">
        <v>0</v>
      </c>
      <c r="V164" s="364">
        <v>1</v>
      </c>
      <c r="W164" s="364">
        <v>35</v>
      </c>
      <c r="X164" s="364">
        <v>0</v>
      </c>
      <c r="Y164" s="364">
        <v>45172.28</v>
      </c>
      <c r="Z164" s="364"/>
      <c r="AA164" s="364"/>
    </row>
    <row r="165" spans="2:27" x14ac:dyDescent="0.25">
      <c r="B165" s="364" t="s">
        <v>914</v>
      </c>
      <c r="C165" s="364" t="s">
        <v>600</v>
      </c>
      <c r="D165" s="364" t="s">
        <v>601</v>
      </c>
      <c r="E165" s="364" t="s">
        <v>1054</v>
      </c>
      <c r="F165" s="364">
        <v>1</v>
      </c>
      <c r="G165" s="364">
        <v>0</v>
      </c>
      <c r="H165" s="364">
        <v>0</v>
      </c>
      <c r="I165" s="364">
        <v>0</v>
      </c>
      <c r="J165" s="364">
        <v>0</v>
      </c>
      <c r="K165" s="364">
        <v>0</v>
      </c>
      <c r="L165" s="364">
        <v>0</v>
      </c>
      <c r="M165" s="364">
        <v>7</v>
      </c>
      <c r="N165" s="364">
        <v>35</v>
      </c>
      <c r="O165" s="364">
        <v>0</v>
      </c>
      <c r="P165" s="364">
        <v>0</v>
      </c>
      <c r="Q165" s="364">
        <v>0</v>
      </c>
      <c r="R165" s="364">
        <v>0</v>
      </c>
      <c r="S165" s="364">
        <v>0</v>
      </c>
      <c r="T165" s="364">
        <v>0</v>
      </c>
      <c r="U165" s="364">
        <v>0</v>
      </c>
      <c r="V165" s="364">
        <v>1</v>
      </c>
      <c r="W165" s="364">
        <v>35</v>
      </c>
      <c r="X165" s="364">
        <v>0</v>
      </c>
      <c r="Y165" s="364">
        <v>45172.28</v>
      </c>
      <c r="Z165" s="364"/>
      <c r="AA165" s="364"/>
    </row>
    <row r="166" spans="2:27" x14ac:dyDescent="0.25">
      <c r="B166" s="364" t="s">
        <v>914</v>
      </c>
      <c r="C166" s="364" t="s">
        <v>596</v>
      </c>
      <c r="D166" s="364" t="s">
        <v>597</v>
      </c>
      <c r="E166" s="364" t="s">
        <v>1055</v>
      </c>
      <c r="F166" s="364">
        <v>1</v>
      </c>
      <c r="G166" s="364">
        <v>0</v>
      </c>
      <c r="H166" s="364">
        <v>0</v>
      </c>
      <c r="I166" s="364">
        <v>0</v>
      </c>
      <c r="J166" s="364">
        <v>0</v>
      </c>
      <c r="K166" s="364">
        <v>0</v>
      </c>
      <c r="L166" s="364">
        <v>0</v>
      </c>
      <c r="M166" s="364">
        <v>7</v>
      </c>
      <c r="N166" s="364">
        <v>35</v>
      </c>
      <c r="O166" s="364">
        <v>0</v>
      </c>
      <c r="P166" s="364">
        <v>0</v>
      </c>
      <c r="Q166" s="364">
        <v>0</v>
      </c>
      <c r="R166" s="364">
        <v>0</v>
      </c>
      <c r="S166" s="364">
        <v>0</v>
      </c>
      <c r="T166" s="364">
        <v>0</v>
      </c>
      <c r="U166" s="364">
        <v>0</v>
      </c>
      <c r="V166" s="364">
        <v>1</v>
      </c>
      <c r="W166" s="364">
        <v>35</v>
      </c>
      <c r="X166" s="364">
        <v>0</v>
      </c>
      <c r="Y166" s="364">
        <v>45172.28</v>
      </c>
      <c r="Z166" s="364"/>
      <c r="AA166" s="364"/>
    </row>
    <row r="167" spans="2:27" x14ac:dyDescent="0.25">
      <c r="B167" s="364" t="s">
        <v>914</v>
      </c>
      <c r="C167" s="364" t="s">
        <v>545</v>
      </c>
      <c r="D167" s="364" t="s">
        <v>546</v>
      </c>
      <c r="E167" s="364" t="s">
        <v>1056</v>
      </c>
      <c r="F167" s="364">
        <v>1</v>
      </c>
      <c r="G167" s="364">
        <v>0</v>
      </c>
      <c r="H167" s="364">
        <v>0</v>
      </c>
      <c r="I167" s="364">
        <v>0</v>
      </c>
      <c r="J167" s="364">
        <v>0</v>
      </c>
      <c r="K167" s="364">
        <v>0</v>
      </c>
      <c r="L167" s="364">
        <v>0</v>
      </c>
      <c r="M167" s="364">
        <v>7</v>
      </c>
      <c r="N167" s="364">
        <v>35</v>
      </c>
      <c r="O167" s="364">
        <v>0</v>
      </c>
      <c r="P167" s="364">
        <v>0</v>
      </c>
      <c r="Q167" s="364">
        <v>0</v>
      </c>
      <c r="R167" s="364">
        <v>0</v>
      </c>
      <c r="S167" s="364">
        <v>0</v>
      </c>
      <c r="T167" s="364">
        <v>0</v>
      </c>
      <c r="U167" s="364">
        <v>0</v>
      </c>
      <c r="V167" s="364">
        <v>1</v>
      </c>
      <c r="W167" s="364">
        <v>35</v>
      </c>
      <c r="X167" s="364">
        <v>0</v>
      </c>
      <c r="Y167" s="364">
        <v>42366.74</v>
      </c>
      <c r="Z167" s="364"/>
      <c r="AA167" s="364"/>
    </row>
    <row r="168" spans="2:27" x14ac:dyDescent="0.25">
      <c r="B168" s="364" t="s">
        <v>914</v>
      </c>
      <c r="C168" s="364" t="s">
        <v>364</v>
      </c>
      <c r="D168" s="364" t="s">
        <v>365</v>
      </c>
      <c r="E168" s="364" t="s">
        <v>1057</v>
      </c>
      <c r="F168" s="364">
        <v>1</v>
      </c>
      <c r="G168" s="364">
        <v>0</v>
      </c>
      <c r="H168" s="364">
        <v>0</v>
      </c>
      <c r="I168" s="364">
        <v>0</v>
      </c>
      <c r="J168" s="364">
        <v>0</v>
      </c>
      <c r="K168" s="364">
        <v>0</v>
      </c>
      <c r="L168" s="364">
        <v>0</v>
      </c>
      <c r="M168" s="364">
        <v>7</v>
      </c>
      <c r="N168" s="364">
        <v>35</v>
      </c>
      <c r="O168" s="364">
        <v>0</v>
      </c>
      <c r="P168" s="364">
        <v>0</v>
      </c>
      <c r="Q168" s="364">
        <v>0</v>
      </c>
      <c r="R168" s="364">
        <v>0</v>
      </c>
      <c r="S168" s="364">
        <v>0</v>
      </c>
      <c r="T168" s="364">
        <v>0</v>
      </c>
      <c r="U168" s="364">
        <v>0</v>
      </c>
      <c r="V168" s="364">
        <v>1</v>
      </c>
      <c r="W168" s="364">
        <v>35</v>
      </c>
      <c r="X168" s="364">
        <v>0</v>
      </c>
      <c r="Y168" s="364">
        <v>38715.760000000002</v>
      </c>
      <c r="Z168" s="364"/>
      <c r="AA168" s="364"/>
    </row>
    <row r="169" spans="2:27" x14ac:dyDescent="0.25">
      <c r="B169" s="364" t="s">
        <v>914</v>
      </c>
      <c r="C169" s="364" t="s">
        <v>389</v>
      </c>
      <c r="D169" s="364" t="s">
        <v>390</v>
      </c>
      <c r="E169" s="364" t="s">
        <v>1058</v>
      </c>
      <c r="F169" s="364">
        <v>1</v>
      </c>
      <c r="G169" s="364">
        <v>0</v>
      </c>
      <c r="H169" s="364">
        <v>0</v>
      </c>
      <c r="I169" s="364">
        <v>0</v>
      </c>
      <c r="J169" s="364">
        <v>0</v>
      </c>
      <c r="K169" s="364">
        <v>0</v>
      </c>
      <c r="L169" s="364">
        <v>0</v>
      </c>
      <c r="M169" s="364">
        <v>7</v>
      </c>
      <c r="N169" s="364">
        <v>35</v>
      </c>
      <c r="O169" s="364">
        <v>0</v>
      </c>
      <c r="P169" s="364">
        <v>0</v>
      </c>
      <c r="Q169" s="364">
        <v>0</v>
      </c>
      <c r="R169" s="364">
        <v>0</v>
      </c>
      <c r="S169" s="364">
        <v>0</v>
      </c>
      <c r="T169" s="364">
        <v>0</v>
      </c>
      <c r="U169" s="364">
        <v>0</v>
      </c>
      <c r="V169" s="364">
        <v>1</v>
      </c>
      <c r="W169" s="364">
        <v>35</v>
      </c>
      <c r="X169" s="364">
        <v>0</v>
      </c>
      <c r="Y169" s="364">
        <v>36210.76</v>
      </c>
      <c r="Z169" s="364"/>
      <c r="AA169" s="364"/>
    </row>
    <row r="170" spans="2:27" x14ac:dyDescent="0.25">
      <c r="B170" s="364" t="s">
        <v>914</v>
      </c>
      <c r="C170" s="364" t="s">
        <v>730</v>
      </c>
      <c r="D170" s="364" t="s">
        <v>731</v>
      </c>
      <c r="E170" s="364" t="s">
        <v>1382</v>
      </c>
      <c r="F170" s="364">
        <v>1</v>
      </c>
      <c r="G170" s="364">
        <v>0</v>
      </c>
      <c r="H170" s="364">
        <v>0</v>
      </c>
      <c r="I170" s="364">
        <v>0</v>
      </c>
      <c r="J170" s="364">
        <v>0</v>
      </c>
      <c r="K170" s="364">
        <v>0</v>
      </c>
      <c r="L170" s="364">
        <v>0</v>
      </c>
      <c r="M170" s="364">
        <v>7</v>
      </c>
      <c r="N170" s="364">
        <v>35</v>
      </c>
      <c r="O170" s="364">
        <v>0</v>
      </c>
      <c r="P170" s="364">
        <v>0</v>
      </c>
      <c r="Q170" s="364">
        <v>0</v>
      </c>
      <c r="R170" s="364">
        <v>0</v>
      </c>
      <c r="S170" s="364">
        <v>0</v>
      </c>
      <c r="T170" s="364">
        <v>0</v>
      </c>
      <c r="U170" s="364">
        <v>0</v>
      </c>
      <c r="V170" s="364">
        <v>1</v>
      </c>
      <c r="W170" s="364">
        <v>35</v>
      </c>
      <c r="X170" s="364">
        <v>0</v>
      </c>
      <c r="Y170" s="364">
        <v>51869.1</v>
      </c>
      <c r="Z170" s="364"/>
      <c r="AA170" s="364"/>
    </row>
    <row r="171" spans="2:27" x14ac:dyDescent="0.25">
      <c r="B171" s="364" t="s">
        <v>914</v>
      </c>
      <c r="C171" s="364" t="s">
        <v>561</v>
      </c>
      <c r="D171" s="364" t="s">
        <v>562</v>
      </c>
      <c r="E171" s="364" t="s">
        <v>1059</v>
      </c>
      <c r="F171" s="364">
        <v>1</v>
      </c>
      <c r="G171" s="364">
        <v>0</v>
      </c>
      <c r="H171" s="364">
        <v>0</v>
      </c>
      <c r="I171" s="364">
        <v>0</v>
      </c>
      <c r="J171" s="364">
        <v>0</v>
      </c>
      <c r="K171" s="364">
        <v>0</v>
      </c>
      <c r="L171" s="364">
        <v>0</v>
      </c>
      <c r="M171" s="364">
        <v>7</v>
      </c>
      <c r="N171" s="364">
        <v>35</v>
      </c>
      <c r="O171" s="364">
        <v>0</v>
      </c>
      <c r="P171" s="364">
        <v>0</v>
      </c>
      <c r="Q171" s="364">
        <v>0</v>
      </c>
      <c r="R171" s="364">
        <v>0</v>
      </c>
      <c r="S171" s="364">
        <v>0</v>
      </c>
      <c r="T171" s="364">
        <v>0</v>
      </c>
      <c r="U171" s="364">
        <v>0</v>
      </c>
      <c r="V171" s="364">
        <v>1</v>
      </c>
      <c r="W171" s="364">
        <v>35</v>
      </c>
      <c r="X171" s="364">
        <v>0</v>
      </c>
      <c r="Y171" s="364">
        <v>46628.15</v>
      </c>
      <c r="Z171" s="364"/>
      <c r="AA171" s="364"/>
    </row>
    <row r="172" spans="2:27" x14ac:dyDescent="0.25">
      <c r="B172" s="364" t="s">
        <v>914</v>
      </c>
      <c r="C172" s="364" t="s">
        <v>563</v>
      </c>
      <c r="D172" s="364" t="s">
        <v>564</v>
      </c>
      <c r="E172" s="364" t="s">
        <v>1060</v>
      </c>
      <c r="F172" s="364">
        <v>1</v>
      </c>
      <c r="G172" s="364">
        <v>0</v>
      </c>
      <c r="H172" s="364">
        <v>0</v>
      </c>
      <c r="I172" s="364">
        <v>0</v>
      </c>
      <c r="J172" s="364">
        <v>0</v>
      </c>
      <c r="K172" s="364">
        <v>0</v>
      </c>
      <c r="L172" s="364">
        <v>0</v>
      </c>
      <c r="M172" s="364">
        <v>7</v>
      </c>
      <c r="N172" s="364">
        <v>35</v>
      </c>
      <c r="O172" s="364">
        <v>0</v>
      </c>
      <c r="P172" s="364">
        <v>0</v>
      </c>
      <c r="Q172" s="364">
        <v>0</v>
      </c>
      <c r="R172" s="364">
        <v>0</v>
      </c>
      <c r="S172" s="364">
        <v>0</v>
      </c>
      <c r="T172" s="364">
        <v>0</v>
      </c>
      <c r="U172" s="364">
        <v>0</v>
      </c>
      <c r="V172" s="364">
        <v>1</v>
      </c>
      <c r="W172" s="364">
        <v>35</v>
      </c>
      <c r="X172" s="364">
        <v>0</v>
      </c>
      <c r="Y172" s="364">
        <v>44734.7</v>
      </c>
      <c r="Z172" s="364"/>
      <c r="AA172" s="364"/>
    </row>
    <row r="173" spans="2:27" x14ac:dyDescent="0.25">
      <c r="B173" s="364" t="s">
        <v>914</v>
      </c>
      <c r="C173" s="364" t="s">
        <v>567</v>
      </c>
      <c r="D173" s="364" t="s">
        <v>568</v>
      </c>
      <c r="E173" s="364" t="s">
        <v>1061</v>
      </c>
      <c r="F173" s="364">
        <v>1</v>
      </c>
      <c r="G173" s="364">
        <v>0</v>
      </c>
      <c r="H173" s="364">
        <v>0</v>
      </c>
      <c r="I173" s="364">
        <v>0</v>
      </c>
      <c r="J173" s="364">
        <v>0</v>
      </c>
      <c r="K173" s="364">
        <v>0</v>
      </c>
      <c r="L173" s="364">
        <v>0</v>
      </c>
      <c r="M173" s="364">
        <v>7</v>
      </c>
      <c r="N173" s="364">
        <v>35</v>
      </c>
      <c r="O173" s="364">
        <v>0</v>
      </c>
      <c r="P173" s="364">
        <v>0</v>
      </c>
      <c r="Q173" s="364">
        <v>0</v>
      </c>
      <c r="R173" s="364">
        <v>0</v>
      </c>
      <c r="S173" s="364">
        <v>0</v>
      </c>
      <c r="T173" s="364">
        <v>0</v>
      </c>
      <c r="U173" s="364">
        <v>0</v>
      </c>
      <c r="V173" s="364">
        <v>1</v>
      </c>
      <c r="W173" s="364">
        <v>35</v>
      </c>
      <c r="X173" s="364">
        <v>0</v>
      </c>
      <c r="Y173" s="364">
        <v>44734.7</v>
      </c>
      <c r="Z173" s="364"/>
      <c r="AA173" s="364"/>
    </row>
    <row r="174" spans="2:27" x14ac:dyDescent="0.25">
      <c r="B174" s="364" t="s">
        <v>914</v>
      </c>
      <c r="C174" s="364" t="s">
        <v>571</v>
      </c>
      <c r="D174" s="364" t="s">
        <v>572</v>
      </c>
      <c r="E174" s="364" t="s">
        <v>1062</v>
      </c>
      <c r="F174" s="364">
        <v>1</v>
      </c>
      <c r="G174" s="364">
        <v>0</v>
      </c>
      <c r="H174" s="364">
        <v>0</v>
      </c>
      <c r="I174" s="364">
        <v>0</v>
      </c>
      <c r="J174" s="364">
        <v>0</v>
      </c>
      <c r="K174" s="364">
        <v>0</v>
      </c>
      <c r="L174" s="364">
        <v>0</v>
      </c>
      <c r="M174" s="364">
        <v>7</v>
      </c>
      <c r="N174" s="364">
        <v>35</v>
      </c>
      <c r="O174" s="364">
        <v>0</v>
      </c>
      <c r="P174" s="364">
        <v>0</v>
      </c>
      <c r="Q174" s="364">
        <v>0</v>
      </c>
      <c r="R174" s="364">
        <v>0</v>
      </c>
      <c r="S174" s="364">
        <v>0</v>
      </c>
      <c r="T174" s="364">
        <v>0</v>
      </c>
      <c r="U174" s="364">
        <v>0</v>
      </c>
      <c r="V174" s="364">
        <v>1</v>
      </c>
      <c r="W174" s="364">
        <v>35</v>
      </c>
      <c r="X174" s="364">
        <v>0</v>
      </c>
      <c r="Y174" s="364">
        <v>44734.7</v>
      </c>
      <c r="Z174" s="364"/>
      <c r="AA174" s="364"/>
    </row>
    <row r="175" spans="2:27" x14ac:dyDescent="0.25">
      <c r="B175" s="364" t="s">
        <v>914</v>
      </c>
      <c r="C175" s="364" t="s">
        <v>574</v>
      </c>
      <c r="D175" s="364" t="s">
        <v>575</v>
      </c>
      <c r="E175" s="364" t="s">
        <v>1063</v>
      </c>
      <c r="F175" s="364">
        <v>1</v>
      </c>
      <c r="G175" s="364">
        <v>0</v>
      </c>
      <c r="H175" s="364">
        <v>0</v>
      </c>
      <c r="I175" s="364">
        <v>0</v>
      </c>
      <c r="J175" s="364">
        <v>0</v>
      </c>
      <c r="K175" s="364">
        <v>0</v>
      </c>
      <c r="L175" s="364">
        <v>0</v>
      </c>
      <c r="M175" s="364">
        <v>7</v>
      </c>
      <c r="N175" s="364">
        <v>35</v>
      </c>
      <c r="O175" s="364">
        <v>0</v>
      </c>
      <c r="P175" s="364">
        <v>0</v>
      </c>
      <c r="Q175" s="364">
        <v>0</v>
      </c>
      <c r="R175" s="364">
        <v>0</v>
      </c>
      <c r="S175" s="364">
        <v>0</v>
      </c>
      <c r="T175" s="364">
        <v>0</v>
      </c>
      <c r="U175" s="364">
        <v>0</v>
      </c>
      <c r="V175" s="364">
        <v>1</v>
      </c>
      <c r="W175" s="364">
        <v>35</v>
      </c>
      <c r="X175" s="364">
        <v>0</v>
      </c>
      <c r="Y175" s="364">
        <v>39412.94</v>
      </c>
      <c r="Z175" s="364"/>
      <c r="AA175" s="364"/>
    </row>
    <row r="176" spans="2:27" x14ac:dyDescent="0.25">
      <c r="B176" s="364" t="s">
        <v>914</v>
      </c>
      <c r="C176" s="364" t="s">
        <v>588</v>
      </c>
      <c r="D176" s="364" t="s">
        <v>589</v>
      </c>
      <c r="E176" s="364" t="s">
        <v>1064</v>
      </c>
      <c r="F176" s="364">
        <v>1</v>
      </c>
      <c r="G176" s="364">
        <v>0</v>
      </c>
      <c r="H176" s="364">
        <v>0</v>
      </c>
      <c r="I176" s="364">
        <v>0</v>
      </c>
      <c r="J176" s="364">
        <v>0</v>
      </c>
      <c r="K176" s="364">
        <v>0</v>
      </c>
      <c r="L176" s="364">
        <v>0</v>
      </c>
      <c r="M176" s="364">
        <v>7</v>
      </c>
      <c r="N176" s="364">
        <v>35</v>
      </c>
      <c r="O176" s="364">
        <v>0</v>
      </c>
      <c r="P176" s="364">
        <v>0</v>
      </c>
      <c r="Q176" s="364">
        <v>0</v>
      </c>
      <c r="R176" s="364">
        <v>0</v>
      </c>
      <c r="S176" s="364">
        <v>0</v>
      </c>
      <c r="T176" s="364">
        <v>0</v>
      </c>
      <c r="U176" s="364">
        <v>0</v>
      </c>
      <c r="V176" s="364">
        <v>1</v>
      </c>
      <c r="W176" s="364">
        <v>35</v>
      </c>
      <c r="X176" s="364">
        <v>0</v>
      </c>
      <c r="Y176" s="364">
        <v>41929.160000000003</v>
      </c>
      <c r="Z176" s="364"/>
      <c r="AA176" s="364"/>
    </row>
    <row r="177" spans="2:27" x14ac:dyDescent="0.25">
      <c r="B177" s="364" t="s">
        <v>914</v>
      </c>
      <c r="C177" s="364" t="s">
        <v>549</v>
      </c>
      <c r="D177" s="364" t="s">
        <v>550</v>
      </c>
      <c r="E177" s="364" t="s">
        <v>1065</v>
      </c>
      <c r="F177" s="364">
        <v>1</v>
      </c>
      <c r="G177" s="364">
        <v>0</v>
      </c>
      <c r="H177" s="364">
        <v>0</v>
      </c>
      <c r="I177" s="364">
        <v>0</v>
      </c>
      <c r="J177" s="364">
        <v>0</v>
      </c>
      <c r="K177" s="364">
        <v>0</v>
      </c>
      <c r="L177" s="364">
        <v>0</v>
      </c>
      <c r="M177" s="364">
        <v>7</v>
      </c>
      <c r="N177" s="364">
        <v>35</v>
      </c>
      <c r="O177" s="364">
        <v>0</v>
      </c>
      <c r="P177" s="364">
        <v>0</v>
      </c>
      <c r="Q177" s="364">
        <v>0</v>
      </c>
      <c r="R177" s="364">
        <v>0</v>
      </c>
      <c r="S177" s="364">
        <v>0</v>
      </c>
      <c r="T177" s="364">
        <v>0</v>
      </c>
      <c r="U177" s="364">
        <v>0</v>
      </c>
      <c r="V177" s="364">
        <v>1</v>
      </c>
      <c r="W177" s="364">
        <v>35</v>
      </c>
      <c r="X177" s="364">
        <v>0</v>
      </c>
      <c r="Y177" s="364">
        <v>42153.72</v>
      </c>
      <c r="Z177" s="364"/>
      <c r="AA177" s="364"/>
    </row>
    <row r="178" spans="2:27" x14ac:dyDescent="0.25">
      <c r="B178" s="364" t="s">
        <v>914</v>
      </c>
      <c r="C178" s="364" t="s">
        <v>592</v>
      </c>
      <c r="D178" s="364" t="s">
        <v>593</v>
      </c>
      <c r="E178" s="364" t="s">
        <v>1066</v>
      </c>
      <c r="F178" s="364">
        <v>1</v>
      </c>
      <c r="G178" s="364">
        <v>0</v>
      </c>
      <c r="H178" s="364">
        <v>0</v>
      </c>
      <c r="I178" s="364">
        <v>0</v>
      </c>
      <c r="J178" s="364">
        <v>0</v>
      </c>
      <c r="K178" s="364">
        <v>0</v>
      </c>
      <c r="L178" s="364">
        <v>0</v>
      </c>
      <c r="M178" s="364">
        <v>7</v>
      </c>
      <c r="N178" s="364">
        <v>35</v>
      </c>
      <c r="O178" s="364">
        <v>0</v>
      </c>
      <c r="P178" s="364">
        <v>0</v>
      </c>
      <c r="Q178" s="364">
        <v>0</v>
      </c>
      <c r="R178" s="364">
        <v>0</v>
      </c>
      <c r="S178" s="364">
        <v>0</v>
      </c>
      <c r="T178" s="364">
        <v>0</v>
      </c>
      <c r="U178" s="364">
        <v>0</v>
      </c>
      <c r="V178" s="364">
        <v>1</v>
      </c>
      <c r="W178" s="364">
        <v>35</v>
      </c>
      <c r="X178" s="364">
        <v>0</v>
      </c>
      <c r="Y178" s="364">
        <v>44734.7</v>
      </c>
      <c r="Z178" s="364"/>
      <c r="AA178" s="364"/>
    </row>
    <row r="179" spans="2:27" x14ac:dyDescent="0.25">
      <c r="B179" s="364" t="s">
        <v>914</v>
      </c>
      <c r="C179" s="364" t="s">
        <v>352</v>
      </c>
      <c r="D179" s="364" t="s">
        <v>353</v>
      </c>
      <c r="E179" s="364" t="s">
        <v>1067</v>
      </c>
      <c r="F179" s="364">
        <v>1</v>
      </c>
      <c r="G179" s="364">
        <v>0</v>
      </c>
      <c r="H179" s="364">
        <v>0</v>
      </c>
      <c r="I179" s="364">
        <v>0</v>
      </c>
      <c r="J179" s="364">
        <v>0</v>
      </c>
      <c r="K179" s="364">
        <v>0</v>
      </c>
      <c r="L179" s="364">
        <v>0</v>
      </c>
      <c r="M179" s="364">
        <v>7</v>
      </c>
      <c r="N179" s="364">
        <v>35</v>
      </c>
      <c r="O179" s="364">
        <v>0</v>
      </c>
      <c r="P179" s="364">
        <v>0</v>
      </c>
      <c r="Q179" s="364">
        <v>0</v>
      </c>
      <c r="R179" s="364">
        <v>0</v>
      </c>
      <c r="S179" s="364">
        <v>0</v>
      </c>
      <c r="T179" s="364">
        <v>0</v>
      </c>
      <c r="U179" s="364">
        <v>0</v>
      </c>
      <c r="V179" s="364">
        <v>1</v>
      </c>
      <c r="W179" s="364">
        <v>35</v>
      </c>
      <c r="X179" s="364">
        <v>0</v>
      </c>
      <c r="Y179" s="364">
        <v>35038.6</v>
      </c>
      <c r="Z179" s="364"/>
      <c r="AA179" s="364"/>
    </row>
    <row r="180" spans="2:27" x14ac:dyDescent="0.25">
      <c r="B180" s="364" t="s">
        <v>914</v>
      </c>
      <c r="C180" s="364" t="s">
        <v>354</v>
      </c>
      <c r="D180" s="364" t="s">
        <v>355</v>
      </c>
      <c r="E180" s="364" t="s">
        <v>1068</v>
      </c>
      <c r="F180" s="364">
        <v>1</v>
      </c>
      <c r="G180" s="364">
        <v>0</v>
      </c>
      <c r="H180" s="364">
        <v>0</v>
      </c>
      <c r="I180" s="364">
        <v>0</v>
      </c>
      <c r="J180" s="364">
        <v>0</v>
      </c>
      <c r="K180" s="364">
        <v>0</v>
      </c>
      <c r="L180" s="364">
        <v>0</v>
      </c>
      <c r="M180" s="364">
        <v>7</v>
      </c>
      <c r="N180" s="364">
        <v>35</v>
      </c>
      <c r="O180" s="364">
        <v>0</v>
      </c>
      <c r="P180" s="364">
        <v>0</v>
      </c>
      <c r="Q180" s="364">
        <v>0</v>
      </c>
      <c r="R180" s="364">
        <v>0</v>
      </c>
      <c r="S180" s="364">
        <v>0</v>
      </c>
      <c r="T180" s="364">
        <v>0</v>
      </c>
      <c r="U180" s="364">
        <v>0</v>
      </c>
      <c r="V180" s="364">
        <v>1</v>
      </c>
      <c r="W180" s="364">
        <v>35</v>
      </c>
      <c r="X180" s="364">
        <v>0</v>
      </c>
      <c r="Y180" s="364">
        <v>33773.4</v>
      </c>
      <c r="Z180" s="364"/>
      <c r="AA180" s="364"/>
    </row>
    <row r="181" spans="2:27" x14ac:dyDescent="0.25">
      <c r="B181" s="364" t="s">
        <v>914</v>
      </c>
      <c r="C181" s="364" t="s">
        <v>358</v>
      </c>
      <c r="D181" s="364" t="s">
        <v>359</v>
      </c>
      <c r="E181" s="364" t="s">
        <v>1069</v>
      </c>
      <c r="F181" s="364">
        <v>1</v>
      </c>
      <c r="G181" s="364">
        <v>0</v>
      </c>
      <c r="H181" s="364">
        <v>0</v>
      </c>
      <c r="I181" s="364">
        <v>0</v>
      </c>
      <c r="J181" s="364">
        <v>0</v>
      </c>
      <c r="K181" s="364">
        <v>0</v>
      </c>
      <c r="L181" s="364">
        <v>0</v>
      </c>
      <c r="M181" s="364">
        <v>7</v>
      </c>
      <c r="N181" s="364">
        <v>35</v>
      </c>
      <c r="O181" s="364">
        <v>0</v>
      </c>
      <c r="P181" s="364">
        <v>0</v>
      </c>
      <c r="Q181" s="364">
        <v>0</v>
      </c>
      <c r="R181" s="364">
        <v>0</v>
      </c>
      <c r="S181" s="364">
        <v>0</v>
      </c>
      <c r="T181" s="364">
        <v>0</v>
      </c>
      <c r="U181" s="364">
        <v>0</v>
      </c>
      <c r="V181" s="364">
        <v>1</v>
      </c>
      <c r="W181" s="364">
        <v>35</v>
      </c>
      <c r="X181" s="364">
        <v>0</v>
      </c>
      <c r="Y181" s="364">
        <v>35820.04</v>
      </c>
      <c r="Z181" s="364"/>
      <c r="AA181" s="364"/>
    </row>
    <row r="182" spans="2:27" x14ac:dyDescent="0.25">
      <c r="B182" s="364" t="s">
        <v>914</v>
      </c>
      <c r="C182" s="364" t="s">
        <v>438</v>
      </c>
      <c r="D182" s="364" t="s">
        <v>439</v>
      </c>
      <c r="E182" s="364" t="s">
        <v>1070</v>
      </c>
      <c r="F182" s="364">
        <v>1</v>
      </c>
      <c r="G182" s="364">
        <v>0</v>
      </c>
      <c r="H182" s="364">
        <v>0</v>
      </c>
      <c r="I182" s="364">
        <v>0</v>
      </c>
      <c r="J182" s="364">
        <v>0</v>
      </c>
      <c r="K182" s="364">
        <v>0</v>
      </c>
      <c r="L182" s="364">
        <v>0</v>
      </c>
      <c r="M182" s="364">
        <v>7</v>
      </c>
      <c r="N182" s="364">
        <v>35</v>
      </c>
      <c r="O182" s="364">
        <v>0</v>
      </c>
      <c r="P182" s="364">
        <v>0</v>
      </c>
      <c r="Q182" s="364">
        <v>0</v>
      </c>
      <c r="R182" s="364">
        <v>0</v>
      </c>
      <c r="S182" s="364">
        <v>0</v>
      </c>
      <c r="T182" s="364">
        <v>0</v>
      </c>
      <c r="U182" s="364">
        <v>0</v>
      </c>
      <c r="V182" s="364">
        <v>1</v>
      </c>
      <c r="W182" s="364">
        <v>35</v>
      </c>
      <c r="X182" s="364">
        <v>0</v>
      </c>
      <c r="Y182" s="364">
        <v>35820.04</v>
      </c>
      <c r="Z182" s="364"/>
      <c r="AA182" s="364"/>
    </row>
    <row r="183" spans="2:27" x14ac:dyDescent="0.25">
      <c r="B183" s="364" t="s">
        <v>914</v>
      </c>
      <c r="C183" s="364" t="s">
        <v>368</v>
      </c>
      <c r="D183" s="364" t="s">
        <v>369</v>
      </c>
      <c r="E183" s="364" t="s">
        <v>1071</v>
      </c>
      <c r="F183" s="364">
        <v>1</v>
      </c>
      <c r="G183" s="364">
        <v>0</v>
      </c>
      <c r="H183" s="364">
        <v>0</v>
      </c>
      <c r="I183" s="364">
        <v>0</v>
      </c>
      <c r="J183" s="364">
        <v>0</v>
      </c>
      <c r="K183" s="364">
        <v>0</v>
      </c>
      <c r="L183" s="364">
        <v>0</v>
      </c>
      <c r="M183" s="364">
        <v>7</v>
      </c>
      <c r="N183" s="364">
        <v>35</v>
      </c>
      <c r="O183" s="364">
        <v>0</v>
      </c>
      <c r="P183" s="364">
        <v>0</v>
      </c>
      <c r="Q183" s="364">
        <v>0</v>
      </c>
      <c r="R183" s="364">
        <v>0</v>
      </c>
      <c r="S183" s="364">
        <v>0</v>
      </c>
      <c r="T183" s="364">
        <v>0</v>
      </c>
      <c r="U183" s="364">
        <v>0</v>
      </c>
      <c r="V183" s="364">
        <v>1</v>
      </c>
      <c r="W183" s="364">
        <v>35</v>
      </c>
      <c r="X183" s="364">
        <v>0</v>
      </c>
      <c r="Y183" s="364">
        <v>36282.1</v>
      </c>
      <c r="Z183" s="364"/>
      <c r="AA183" s="364"/>
    </row>
    <row r="184" spans="2:27" x14ac:dyDescent="0.25">
      <c r="B184" s="364" t="s">
        <v>914</v>
      </c>
      <c r="C184" s="364" t="s">
        <v>434</v>
      </c>
      <c r="D184" s="364" t="s">
        <v>435</v>
      </c>
      <c r="E184" s="364" t="s">
        <v>1383</v>
      </c>
      <c r="F184" s="364">
        <v>1</v>
      </c>
      <c r="G184" s="364">
        <v>0</v>
      </c>
      <c r="H184" s="364">
        <v>0</v>
      </c>
      <c r="I184" s="364">
        <v>0</v>
      </c>
      <c r="J184" s="364">
        <v>0</v>
      </c>
      <c r="K184" s="364">
        <v>0</v>
      </c>
      <c r="L184" s="364">
        <v>0</v>
      </c>
      <c r="M184" s="364">
        <v>7</v>
      </c>
      <c r="N184" s="364">
        <v>35</v>
      </c>
      <c r="O184" s="364">
        <v>0</v>
      </c>
      <c r="P184" s="364">
        <v>0</v>
      </c>
      <c r="Q184" s="364">
        <v>0</v>
      </c>
      <c r="R184" s="364">
        <v>0</v>
      </c>
      <c r="S184" s="364">
        <v>0</v>
      </c>
      <c r="T184" s="364">
        <v>0</v>
      </c>
      <c r="U184" s="364">
        <v>0</v>
      </c>
      <c r="V184" s="364">
        <v>1</v>
      </c>
      <c r="W184" s="364">
        <v>35</v>
      </c>
      <c r="X184" s="364">
        <v>0</v>
      </c>
      <c r="Y184" s="364">
        <v>40216.080000000002</v>
      </c>
      <c r="Z184" s="364"/>
      <c r="AA184" s="364"/>
    </row>
    <row r="185" spans="2:27" x14ac:dyDescent="0.25">
      <c r="B185" s="364" t="s">
        <v>914</v>
      </c>
      <c r="C185" s="364" t="s">
        <v>372</v>
      </c>
      <c r="D185" s="364" t="s">
        <v>373</v>
      </c>
      <c r="E185" s="364" t="s">
        <v>1692</v>
      </c>
      <c r="F185" s="364">
        <v>1</v>
      </c>
      <c r="G185" s="364">
        <v>0</v>
      </c>
      <c r="H185" s="364">
        <v>0</v>
      </c>
      <c r="I185" s="364">
        <v>0</v>
      </c>
      <c r="J185" s="364">
        <v>0</v>
      </c>
      <c r="K185" s="364">
        <v>0</v>
      </c>
      <c r="L185" s="364">
        <v>0</v>
      </c>
      <c r="M185" s="364">
        <v>7</v>
      </c>
      <c r="N185" s="364">
        <v>35</v>
      </c>
      <c r="O185" s="364">
        <v>0</v>
      </c>
      <c r="P185" s="364">
        <v>0</v>
      </c>
      <c r="Q185" s="364">
        <v>0</v>
      </c>
      <c r="R185" s="364">
        <v>0</v>
      </c>
      <c r="S185" s="364">
        <v>0</v>
      </c>
      <c r="T185" s="364">
        <v>0</v>
      </c>
      <c r="U185" s="364">
        <v>0</v>
      </c>
      <c r="V185" s="364">
        <v>1</v>
      </c>
      <c r="W185" s="364">
        <v>35</v>
      </c>
      <c r="X185" s="364">
        <v>0</v>
      </c>
      <c r="Y185" s="364">
        <v>51869.1</v>
      </c>
      <c r="Z185" s="364"/>
      <c r="AA185" s="364"/>
    </row>
    <row r="186" spans="2:27" x14ac:dyDescent="0.25">
      <c r="B186" s="364" t="s">
        <v>914</v>
      </c>
      <c r="C186" s="364" t="s">
        <v>508</v>
      </c>
      <c r="D186" s="364" t="s">
        <v>509</v>
      </c>
      <c r="E186" s="364" t="s">
        <v>1072</v>
      </c>
      <c r="F186" s="364">
        <v>1</v>
      </c>
      <c r="G186" s="364">
        <v>0</v>
      </c>
      <c r="H186" s="364">
        <v>0</v>
      </c>
      <c r="I186" s="364">
        <v>0</v>
      </c>
      <c r="J186" s="364">
        <v>0</v>
      </c>
      <c r="K186" s="364">
        <v>0</v>
      </c>
      <c r="L186" s="364">
        <v>0</v>
      </c>
      <c r="M186" s="364">
        <v>7</v>
      </c>
      <c r="N186" s="364">
        <v>35</v>
      </c>
      <c r="O186" s="364">
        <v>0</v>
      </c>
      <c r="P186" s="364">
        <v>0</v>
      </c>
      <c r="Q186" s="364">
        <v>0</v>
      </c>
      <c r="R186" s="364">
        <v>0</v>
      </c>
      <c r="S186" s="364">
        <v>0</v>
      </c>
      <c r="T186" s="364">
        <v>0</v>
      </c>
      <c r="U186" s="364">
        <v>0</v>
      </c>
      <c r="V186" s="364">
        <v>1</v>
      </c>
      <c r="W186" s="364">
        <v>35</v>
      </c>
      <c r="X186" s="364">
        <v>0</v>
      </c>
      <c r="Y186" s="364">
        <v>70323.55</v>
      </c>
      <c r="Z186" s="364"/>
      <c r="AA186" s="364"/>
    </row>
    <row r="187" spans="2:27" x14ac:dyDescent="0.25">
      <c r="B187" s="364" t="s">
        <v>914</v>
      </c>
      <c r="C187" s="364" t="s">
        <v>754</v>
      </c>
      <c r="D187" s="364" t="s">
        <v>755</v>
      </c>
      <c r="E187" s="364" t="s">
        <v>1074</v>
      </c>
      <c r="F187" s="364">
        <v>1</v>
      </c>
      <c r="G187" s="364">
        <v>0</v>
      </c>
      <c r="H187" s="364">
        <v>0</v>
      </c>
      <c r="I187" s="364">
        <v>0</v>
      </c>
      <c r="J187" s="364">
        <v>0</v>
      </c>
      <c r="K187" s="364">
        <v>0</v>
      </c>
      <c r="L187" s="364">
        <v>0</v>
      </c>
      <c r="M187" s="364">
        <v>7</v>
      </c>
      <c r="N187" s="364">
        <v>35</v>
      </c>
      <c r="O187" s="364">
        <v>0</v>
      </c>
      <c r="P187" s="364">
        <v>0</v>
      </c>
      <c r="Q187" s="364">
        <v>0</v>
      </c>
      <c r="R187" s="364">
        <v>0</v>
      </c>
      <c r="S187" s="364">
        <v>0</v>
      </c>
      <c r="T187" s="364">
        <v>0</v>
      </c>
      <c r="U187" s="364">
        <v>0</v>
      </c>
      <c r="V187" s="364">
        <v>1</v>
      </c>
      <c r="W187" s="364">
        <v>35</v>
      </c>
      <c r="X187" s="364">
        <v>0</v>
      </c>
      <c r="Y187" s="364">
        <v>199448.54</v>
      </c>
      <c r="Z187" s="364"/>
      <c r="AA187" s="364"/>
    </row>
    <row r="188" spans="2:27" x14ac:dyDescent="0.25">
      <c r="B188" s="364" t="s">
        <v>914</v>
      </c>
      <c r="C188" s="364" t="s">
        <v>436</v>
      </c>
      <c r="D188" s="364" t="s">
        <v>437</v>
      </c>
      <c r="E188" s="364" t="s">
        <v>1075</v>
      </c>
      <c r="F188" s="364">
        <v>1</v>
      </c>
      <c r="G188" s="364">
        <v>0</v>
      </c>
      <c r="H188" s="364">
        <v>0</v>
      </c>
      <c r="I188" s="364">
        <v>0</v>
      </c>
      <c r="J188" s="364">
        <v>0</v>
      </c>
      <c r="K188" s="364">
        <v>0</v>
      </c>
      <c r="L188" s="364">
        <v>0</v>
      </c>
      <c r="M188" s="364">
        <v>7</v>
      </c>
      <c r="N188" s="364">
        <v>35</v>
      </c>
      <c r="O188" s="364">
        <v>0</v>
      </c>
      <c r="P188" s="364">
        <v>0</v>
      </c>
      <c r="Q188" s="364">
        <v>0</v>
      </c>
      <c r="R188" s="364">
        <v>0</v>
      </c>
      <c r="S188" s="364">
        <v>0</v>
      </c>
      <c r="T188" s="364">
        <v>0</v>
      </c>
      <c r="U188" s="364">
        <v>0</v>
      </c>
      <c r="V188" s="364">
        <v>1</v>
      </c>
      <c r="W188" s="364">
        <v>35</v>
      </c>
      <c r="X188" s="364">
        <v>0</v>
      </c>
      <c r="Y188" s="364">
        <v>35238.6</v>
      </c>
      <c r="Z188" s="364"/>
      <c r="AA188" s="364"/>
    </row>
    <row r="189" spans="2:27" x14ac:dyDescent="0.25">
      <c r="B189" s="364" t="s">
        <v>914</v>
      </c>
      <c r="C189" s="364" t="s">
        <v>432</v>
      </c>
      <c r="D189" s="364" t="s">
        <v>433</v>
      </c>
      <c r="E189" s="364" t="s">
        <v>1076</v>
      </c>
      <c r="F189" s="364">
        <v>1</v>
      </c>
      <c r="G189" s="364">
        <v>0</v>
      </c>
      <c r="H189" s="364">
        <v>0</v>
      </c>
      <c r="I189" s="364">
        <v>0</v>
      </c>
      <c r="J189" s="364">
        <v>0</v>
      </c>
      <c r="K189" s="364">
        <v>0</v>
      </c>
      <c r="L189" s="364">
        <v>0</v>
      </c>
      <c r="M189" s="364">
        <v>7</v>
      </c>
      <c r="N189" s="364">
        <v>35</v>
      </c>
      <c r="O189" s="364">
        <v>0</v>
      </c>
      <c r="P189" s="364">
        <v>0</v>
      </c>
      <c r="Q189" s="364">
        <v>0</v>
      </c>
      <c r="R189" s="364">
        <v>0</v>
      </c>
      <c r="S189" s="364">
        <v>0</v>
      </c>
      <c r="T189" s="364">
        <v>0</v>
      </c>
      <c r="U189" s="364">
        <v>0</v>
      </c>
      <c r="V189" s="364">
        <v>1</v>
      </c>
      <c r="W189" s="364">
        <v>35</v>
      </c>
      <c r="X189" s="364">
        <v>0</v>
      </c>
      <c r="Y189" s="364">
        <v>36424.78</v>
      </c>
      <c r="Z189" s="364"/>
      <c r="AA189" s="364"/>
    </row>
    <row r="190" spans="2:27" x14ac:dyDescent="0.25">
      <c r="B190" s="364" t="s">
        <v>914</v>
      </c>
      <c r="C190" s="364" t="s">
        <v>502</v>
      </c>
      <c r="D190" s="364" t="s">
        <v>503</v>
      </c>
      <c r="E190" s="364" t="s">
        <v>1077</v>
      </c>
      <c r="F190" s="364">
        <v>1</v>
      </c>
      <c r="G190" s="364">
        <v>0</v>
      </c>
      <c r="H190" s="364">
        <v>0</v>
      </c>
      <c r="I190" s="364">
        <v>0</v>
      </c>
      <c r="J190" s="364">
        <v>0</v>
      </c>
      <c r="K190" s="364">
        <v>0</v>
      </c>
      <c r="L190" s="364">
        <v>0</v>
      </c>
      <c r="M190" s="364">
        <v>7</v>
      </c>
      <c r="N190" s="364">
        <v>35</v>
      </c>
      <c r="O190" s="364">
        <v>0</v>
      </c>
      <c r="P190" s="364">
        <v>0</v>
      </c>
      <c r="Q190" s="364">
        <v>0</v>
      </c>
      <c r="R190" s="364">
        <v>0</v>
      </c>
      <c r="S190" s="364">
        <v>0</v>
      </c>
      <c r="T190" s="364">
        <v>0</v>
      </c>
      <c r="U190" s="364">
        <v>0</v>
      </c>
      <c r="V190" s="364">
        <v>1</v>
      </c>
      <c r="W190" s="364">
        <v>35</v>
      </c>
      <c r="X190" s="364">
        <v>0</v>
      </c>
      <c r="Y190" s="364">
        <v>41053.94</v>
      </c>
      <c r="Z190" s="364"/>
      <c r="AA190" s="364"/>
    </row>
    <row r="191" spans="2:27" x14ac:dyDescent="0.25">
      <c r="B191" s="364" t="s">
        <v>914</v>
      </c>
      <c r="C191" s="364" t="s">
        <v>750</v>
      </c>
      <c r="D191" s="364" t="s">
        <v>751</v>
      </c>
      <c r="E191" s="364" t="s">
        <v>1078</v>
      </c>
      <c r="F191" s="364">
        <v>1</v>
      </c>
      <c r="G191" s="364">
        <v>0</v>
      </c>
      <c r="H191" s="364">
        <v>0</v>
      </c>
      <c r="I191" s="364">
        <v>0</v>
      </c>
      <c r="J191" s="364">
        <v>0</v>
      </c>
      <c r="K191" s="364">
        <v>0</v>
      </c>
      <c r="L191" s="364">
        <v>0</v>
      </c>
      <c r="M191" s="364">
        <v>7</v>
      </c>
      <c r="N191" s="364">
        <v>35</v>
      </c>
      <c r="O191" s="364">
        <v>0</v>
      </c>
      <c r="P191" s="364">
        <v>0</v>
      </c>
      <c r="Q191" s="364">
        <v>0</v>
      </c>
      <c r="R191" s="364">
        <v>0</v>
      </c>
      <c r="S191" s="364">
        <v>0</v>
      </c>
      <c r="T191" s="364">
        <v>0</v>
      </c>
      <c r="U191" s="364">
        <v>0</v>
      </c>
      <c r="V191" s="364">
        <v>1</v>
      </c>
      <c r="W191" s="364">
        <v>35</v>
      </c>
      <c r="X191" s="364">
        <v>0</v>
      </c>
      <c r="Y191" s="364">
        <v>78119.22</v>
      </c>
      <c r="Z191" s="364"/>
      <c r="AA191" s="364"/>
    </row>
    <row r="192" spans="2:27" x14ac:dyDescent="0.25">
      <c r="B192" s="364" t="s">
        <v>914</v>
      </c>
      <c r="C192" s="364" t="s">
        <v>734</v>
      </c>
      <c r="D192" s="364" t="s">
        <v>735</v>
      </c>
      <c r="E192" s="364" t="s">
        <v>1079</v>
      </c>
      <c r="F192" s="364">
        <v>1</v>
      </c>
      <c r="G192" s="364">
        <v>0</v>
      </c>
      <c r="H192" s="364">
        <v>0</v>
      </c>
      <c r="I192" s="364">
        <v>0</v>
      </c>
      <c r="J192" s="364">
        <v>0</v>
      </c>
      <c r="K192" s="364">
        <v>0</v>
      </c>
      <c r="L192" s="364">
        <v>0</v>
      </c>
      <c r="M192" s="364">
        <v>7</v>
      </c>
      <c r="N192" s="364">
        <v>35</v>
      </c>
      <c r="O192" s="364">
        <v>0</v>
      </c>
      <c r="P192" s="364">
        <v>0</v>
      </c>
      <c r="Q192" s="364">
        <v>0</v>
      </c>
      <c r="R192" s="364">
        <v>0</v>
      </c>
      <c r="S192" s="364">
        <v>0</v>
      </c>
      <c r="T192" s="364">
        <v>0</v>
      </c>
      <c r="U192" s="364">
        <v>0</v>
      </c>
      <c r="V192" s="364">
        <v>1</v>
      </c>
      <c r="W192" s="364">
        <v>35</v>
      </c>
      <c r="X192" s="364">
        <v>0</v>
      </c>
      <c r="Y192" s="364">
        <v>70163.490000000005</v>
      </c>
      <c r="Z192" s="364"/>
      <c r="AA192" s="364"/>
    </row>
    <row r="193" spans="2:27" x14ac:dyDescent="0.25">
      <c r="B193" s="364" t="s">
        <v>914</v>
      </c>
      <c r="C193" s="364" t="s">
        <v>746</v>
      </c>
      <c r="D193" s="364" t="s">
        <v>747</v>
      </c>
      <c r="E193" s="364" t="s">
        <v>1080</v>
      </c>
      <c r="F193" s="364">
        <v>1</v>
      </c>
      <c r="G193" s="364">
        <v>0</v>
      </c>
      <c r="H193" s="364">
        <v>0</v>
      </c>
      <c r="I193" s="364">
        <v>0</v>
      </c>
      <c r="J193" s="364">
        <v>0</v>
      </c>
      <c r="K193" s="364">
        <v>0</v>
      </c>
      <c r="L193" s="364">
        <v>0</v>
      </c>
      <c r="M193" s="364">
        <v>7</v>
      </c>
      <c r="N193" s="364">
        <v>35</v>
      </c>
      <c r="O193" s="364">
        <v>0</v>
      </c>
      <c r="P193" s="364">
        <v>0</v>
      </c>
      <c r="Q193" s="364">
        <v>0</v>
      </c>
      <c r="R193" s="364">
        <v>0</v>
      </c>
      <c r="S193" s="364">
        <v>0</v>
      </c>
      <c r="T193" s="364">
        <v>0</v>
      </c>
      <c r="U193" s="364">
        <v>0</v>
      </c>
      <c r="V193" s="364">
        <v>1</v>
      </c>
      <c r="W193" s="364">
        <v>35</v>
      </c>
      <c r="X193" s="364">
        <v>0</v>
      </c>
      <c r="Y193" s="364">
        <v>70163.490000000005</v>
      </c>
      <c r="Z193" s="364"/>
      <c r="AA193" s="364"/>
    </row>
    <row r="194" spans="2:27" x14ac:dyDescent="0.25">
      <c r="B194" s="364" t="s">
        <v>914</v>
      </c>
      <c r="C194" s="364" t="s">
        <v>748</v>
      </c>
      <c r="D194" s="364" t="s">
        <v>749</v>
      </c>
      <c r="E194" s="364" t="s">
        <v>1385</v>
      </c>
      <c r="F194" s="364">
        <v>1</v>
      </c>
      <c r="G194" s="364">
        <v>0</v>
      </c>
      <c r="H194" s="364">
        <v>0</v>
      </c>
      <c r="I194" s="364">
        <v>0</v>
      </c>
      <c r="J194" s="364">
        <v>0</v>
      </c>
      <c r="K194" s="364">
        <v>0</v>
      </c>
      <c r="L194" s="364">
        <v>0</v>
      </c>
      <c r="M194" s="364">
        <v>7</v>
      </c>
      <c r="N194" s="364">
        <v>35</v>
      </c>
      <c r="O194" s="364">
        <v>0</v>
      </c>
      <c r="P194" s="364">
        <v>0</v>
      </c>
      <c r="Q194" s="364">
        <v>0</v>
      </c>
      <c r="R194" s="364">
        <v>0</v>
      </c>
      <c r="S194" s="364">
        <v>0</v>
      </c>
      <c r="T194" s="364">
        <v>0</v>
      </c>
      <c r="U194" s="364">
        <v>0</v>
      </c>
      <c r="V194" s="364">
        <v>1</v>
      </c>
      <c r="W194" s="364">
        <v>35</v>
      </c>
      <c r="X194" s="364">
        <v>0</v>
      </c>
      <c r="Y194" s="364">
        <v>78119.22</v>
      </c>
      <c r="Z194" s="364"/>
      <c r="AA194" s="364"/>
    </row>
    <row r="195" spans="2:27" x14ac:dyDescent="0.25">
      <c r="B195" s="364" t="s">
        <v>914</v>
      </c>
      <c r="C195" s="364" t="s">
        <v>632</v>
      </c>
      <c r="D195" s="364" t="s">
        <v>633</v>
      </c>
      <c r="E195" s="364" t="s">
        <v>1081</v>
      </c>
      <c r="F195" s="364">
        <v>1</v>
      </c>
      <c r="G195" s="364">
        <v>0</v>
      </c>
      <c r="H195" s="364">
        <v>0</v>
      </c>
      <c r="I195" s="364">
        <v>0</v>
      </c>
      <c r="J195" s="364">
        <v>0</v>
      </c>
      <c r="K195" s="364">
        <v>0</v>
      </c>
      <c r="L195" s="364">
        <v>0</v>
      </c>
      <c r="M195" s="364">
        <v>7</v>
      </c>
      <c r="N195" s="364">
        <v>35</v>
      </c>
      <c r="O195" s="364">
        <v>0</v>
      </c>
      <c r="P195" s="364">
        <v>0</v>
      </c>
      <c r="Q195" s="364">
        <v>0</v>
      </c>
      <c r="R195" s="364">
        <v>0</v>
      </c>
      <c r="S195" s="364">
        <v>0</v>
      </c>
      <c r="T195" s="364">
        <v>0</v>
      </c>
      <c r="U195" s="364">
        <v>0</v>
      </c>
      <c r="V195" s="364">
        <v>1</v>
      </c>
      <c r="W195" s="364">
        <v>35</v>
      </c>
      <c r="X195" s="364">
        <v>0</v>
      </c>
      <c r="Y195" s="364">
        <v>41053.94</v>
      </c>
      <c r="Z195" s="364"/>
      <c r="AA195" s="364"/>
    </row>
    <row r="196" spans="2:27" x14ac:dyDescent="0.25">
      <c r="B196" s="364" t="s">
        <v>914</v>
      </c>
      <c r="C196" s="364" t="s">
        <v>628</v>
      </c>
      <c r="D196" s="364" t="s">
        <v>629</v>
      </c>
      <c r="E196" s="364" t="s">
        <v>1082</v>
      </c>
      <c r="F196" s="364">
        <v>1</v>
      </c>
      <c r="G196" s="364">
        <v>0</v>
      </c>
      <c r="H196" s="364">
        <v>0</v>
      </c>
      <c r="I196" s="364">
        <v>0</v>
      </c>
      <c r="J196" s="364">
        <v>0</v>
      </c>
      <c r="K196" s="364">
        <v>0</v>
      </c>
      <c r="L196" s="364">
        <v>0</v>
      </c>
      <c r="M196" s="364">
        <v>7</v>
      </c>
      <c r="N196" s="364">
        <v>35</v>
      </c>
      <c r="O196" s="364">
        <v>0</v>
      </c>
      <c r="P196" s="364">
        <v>0</v>
      </c>
      <c r="Q196" s="364">
        <v>0</v>
      </c>
      <c r="R196" s="364">
        <v>0</v>
      </c>
      <c r="S196" s="364">
        <v>0</v>
      </c>
      <c r="T196" s="364">
        <v>0</v>
      </c>
      <c r="U196" s="364">
        <v>0</v>
      </c>
      <c r="V196" s="364">
        <v>1</v>
      </c>
      <c r="W196" s="364">
        <v>35</v>
      </c>
      <c r="X196" s="364">
        <v>0</v>
      </c>
      <c r="Y196" s="364">
        <v>41053.94</v>
      </c>
      <c r="Z196" s="364"/>
      <c r="AA196" s="364"/>
    </row>
    <row r="197" spans="2:27" x14ac:dyDescent="0.25">
      <c r="B197" s="364" t="s">
        <v>914</v>
      </c>
      <c r="C197" s="364" t="s">
        <v>669</v>
      </c>
      <c r="D197" s="364" t="s">
        <v>670</v>
      </c>
      <c r="E197" s="364" t="s">
        <v>1083</v>
      </c>
      <c r="F197" s="364">
        <v>1</v>
      </c>
      <c r="G197" s="364">
        <v>0</v>
      </c>
      <c r="H197" s="364">
        <v>0</v>
      </c>
      <c r="I197" s="364">
        <v>0</v>
      </c>
      <c r="J197" s="364">
        <v>0</v>
      </c>
      <c r="K197" s="364">
        <v>0</v>
      </c>
      <c r="L197" s="364">
        <v>0</v>
      </c>
      <c r="M197" s="364">
        <v>7</v>
      </c>
      <c r="N197" s="364">
        <v>35</v>
      </c>
      <c r="O197" s="364">
        <v>0</v>
      </c>
      <c r="P197" s="364">
        <v>0</v>
      </c>
      <c r="Q197" s="364">
        <v>0</v>
      </c>
      <c r="R197" s="364">
        <v>0</v>
      </c>
      <c r="S197" s="364">
        <v>0</v>
      </c>
      <c r="T197" s="364">
        <v>0</v>
      </c>
      <c r="U197" s="364">
        <v>0</v>
      </c>
      <c r="V197" s="364">
        <v>1</v>
      </c>
      <c r="W197" s="364">
        <v>35</v>
      </c>
      <c r="X197" s="364">
        <v>0</v>
      </c>
      <c r="Y197" s="364">
        <v>38777.72</v>
      </c>
      <c r="Z197" s="364"/>
      <c r="AA197" s="364"/>
    </row>
    <row r="198" spans="2:27" x14ac:dyDescent="0.25">
      <c r="B198" s="364" t="s">
        <v>914</v>
      </c>
      <c r="C198" s="364" t="s">
        <v>616</v>
      </c>
      <c r="D198" s="364" t="s">
        <v>617</v>
      </c>
      <c r="E198" s="364" t="s">
        <v>1084</v>
      </c>
      <c r="F198" s="364">
        <v>1</v>
      </c>
      <c r="G198" s="364">
        <v>0</v>
      </c>
      <c r="H198" s="364">
        <v>0</v>
      </c>
      <c r="I198" s="364">
        <v>0</v>
      </c>
      <c r="J198" s="364">
        <v>0</v>
      </c>
      <c r="K198" s="364">
        <v>0</v>
      </c>
      <c r="L198" s="364">
        <v>0</v>
      </c>
      <c r="M198" s="364">
        <v>7</v>
      </c>
      <c r="N198" s="364">
        <v>35</v>
      </c>
      <c r="O198" s="364">
        <v>0</v>
      </c>
      <c r="P198" s="364">
        <v>0</v>
      </c>
      <c r="Q198" s="364">
        <v>0</v>
      </c>
      <c r="R198" s="364">
        <v>0</v>
      </c>
      <c r="S198" s="364">
        <v>0</v>
      </c>
      <c r="T198" s="364">
        <v>0</v>
      </c>
      <c r="U198" s="364">
        <v>0</v>
      </c>
      <c r="V198" s="364">
        <v>1</v>
      </c>
      <c r="W198" s="364">
        <v>35</v>
      </c>
      <c r="X198" s="364">
        <v>0</v>
      </c>
      <c r="Y198" s="364">
        <v>43859.48</v>
      </c>
      <c r="Z198" s="364"/>
      <c r="AA198" s="364"/>
    </row>
    <row r="199" spans="2:27" x14ac:dyDescent="0.25">
      <c r="B199" s="364" t="s">
        <v>914</v>
      </c>
      <c r="C199" s="364" t="s">
        <v>612</v>
      </c>
      <c r="D199" s="364" t="s">
        <v>613</v>
      </c>
      <c r="E199" s="364" t="s">
        <v>1085</v>
      </c>
      <c r="F199" s="364">
        <v>1</v>
      </c>
      <c r="G199" s="364">
        <v>0</v>
      </c>
      <c r="H199" s="364">
        <v>0</v>
      </c>
      <c r="I199" s="364">
        <v>0</v>
      </c>
      <c r="J199" s="364">
        <v>0</v>
      </c>
      <c r="K199" s="364">
        <v>0</v>
      </c>
      <c r="L199" s="364">
        <v>0</v>
      </c>
      <c r="M199" s="364">
        <v>7</v>
      </c>
      <c r="N199" s="364">
        <v>35</v>
      </c>
      <c r="O199" s="364">
        <v>0</v>
      </c>
      <c r="P199" s="364">
        <v>0</v>
      </c>
      <c r="Q199" s="364">
        <v>0</v>
      </c>
      <c r="R199" s="364">
        <v>0</v>
      </c>
      <c r="S199" s="364">
        <v>0</v>
      </c>
      <c r="T199" s="364">
        <v>0</v>
      </c>
      <c r="U199" s="364">
        <v>0</v>
      </c>
      <c r="V199" s="364">
        <v>1</v>
      </c>
      <c r="W199" s="364">
        <v>35</v>
      </c>
      <c r="X199" s="364">
        <v>0</v>
      </c>
      <c r="Y199" s="364">
        <v>38537.72</v>
      </c>
      <c r="Z199" s="364"/>
      <c r="AA199" s="364"/>
    </row>
    <row r="200" spans="2:27" x14ac:dyDescent="0.25">
      <c r="B200" s="364" t="s">
        <v>914</v>
      </c>
      <c r="C200" s="364" t="s">
        <v>690</v>
      </c>
      <c r="D200" s="364" t="s">
        <v>691</v>
      </c>
      <c r="E200" s="364" t="s">
        <v>1086</v>
      </c>
      <c r="F200" s="364">
        <v>1</v>
      </c>
      <c r="G200" s="364">
        <v>0</v>
      </c>
      <c r="H200" s="364">
        <v>0</v>
      </c>
      <c r="I200" s="364">
        <v>0</v>
      </c>
      <c r="J200" s="364">
        <v>0</v>
      </c>
      <c r="K200" s="364">
        <v>0</v>
      </c>
      <c r="L200" s="364">
        <v>0</v>
      </c>
      <c r="M200" s="364">
        <v>7</v>
      </c>
      <c r="N200" s="364">
        <v>35</v>
      </c>
      <c r="O200" s="364">
        <v>0</v>
      </c>
      <c r="P200" s="364">
        <v>0</v>
      </c>
      <c r="Q200" s="364">
        <v>0</v>
      </c>
      <c r="R200" s="364">
        <v>0</v>
      </c>
      <c r="S200" s="364">
        <v>0</v>
      </c>
      <c r="T200" s="364">
        <v>0</v>
      </c>
      <c r="U200" s="364">
        <v>0</v>
      </c>
      <c r="V200" s="364">
        <v>1</v>
      </c>
      <c r="W200" s="364">
        <v>35</v>
      </c>
      <c r="X200" s="364">
        <v>0</v>
      </c>
      <c r="Y200" s="364">
        <v>38537.72</v>
      </c>
      <c r="Z200" s="364"/>
      <c r="AA200" s="364"/>
    </row>
    <row r="201" spans="2:27" x14ac:dyDescent="0.25">
      <c r="B201" s="364" t="s">
        <v>914</v>
      </c>
      <c r="C201" s="364" t="s">
        <v>686</v>
      </c>
      <c r="D201" s="364" t="s">
        <v>687</v>
      </c>
      <c r="E201" s="364" t="s">
        <v>1087</v>
      </c>
      <c r="F201" s="364">
        <v>1</v>
      </c>
      <c r="G201" s="364">
        <v>0</v>
      </c>
      <c r="H201" s="364">
        <v>0</v>
      </c>
      <c r="I201" s="364">
        <v>0</v>
      </c>
      <c r="J201" s="364">
        <v>0</v>
      </c>
      <c r="K201" s="364">
        <v>0</v>
      </c>
      <c r="L201" s="364">
        <v>0</v>
      </c>
      <c r="M201" s="364">
        <v>7</v>
      </c>
      <c r="N201" s="364">
        <v>35</v>
      </c>
      <c r="O201" s="364">
        <v>0</v>
      </c>
      <c r="P201" s="364">
        <v>0</v>
      </c>
      <c r="Q201" s="364">
        <v>0</v>
      </c>
      <c r="R201" s="364">
        <v>0</v>
      </c>
      <c r="S201" s="364">
        <v>0</v>
      </c>
      <c r="T201" s="364">
        <v>0</v>
      </c>
      <c r="U201" s="364">
        <v>0</v>
      </c>
      <c r="V201" s="364">
        <v>1</v>
      </c>
      <c r="W201" s="364">
        <v>35</v>
      </c>
      <c r="X201" s="364">
        <v>0</v>
      </c>
      <c r="Y201" s="364">
        <v>41053.93</v>
      </c>
      <c r="Z201" s="364"/>
      <c r="AA201" s="364"/>
    </row>
    <row r="202" spans="2:27" x14ac:dyDescent="0.25">
      <c r="B202" s="364" t="s">
        <v>914</v>
      </c>
      <c r="C202" s="364" t="s">
        <v>682</v>
      </c>
      <c r="D202" s="364" t="s">
        <v>683</v>
      </c>
      <c r="E202" s="364" t="s">
        <v>1088</v>
      </c>
      <c r="F202" s="364">
        <v>1</v>
      </c>
      <c r="G202" s="364">
        <v>0</v>
      </c>
      <c r="H202" s="364">
        <v>0</v>
      </c>
      <c r="I202" s="364">
        <v>0</v>
      </c>
      <c r="J202" s="364">
        <v>0</v>
      </c>
      <c r="K202" s="364">
        <v>0</v>
      </c>
      <c r="L202" s="364">
        <v>0</v>
      </c>
      <c r="M202" s="364">
        <v>7</v>
      </c>
      <c r="N202" s="364">
        <v>35</v>
      </c>
      <c r="O202" s="364">
        <v>0</v>
      </c>
      <c r="P202" s="364">
        <v>0</v>
      </c>
      <c r="Q202" s="364">
        <v>0</v>
      </c>
      <c r="R202" s="364">
        <v>0</v>
      </c>
      <c r="S202" s="364">
        <v>0</v>
      </c>
      <c r="T202" s="364">
        <v>0</v>
      </c>
      <c r="U202" s="364">
        <v>0</v>
      </c>
      <c r="V202" s="364">
        <v>1</v>
      </c>
      <c r="W202" s="364">
        <v>35</v>
      </c>
      <c r="X202" s="364">
        <v>0</v>
      </c>
      <c r="Y202" s="364">
        <v>38537.72</v>
      </c>
      <c r="Z202" s="364"/>
      <c r="AA202" s="364"/>
    </row>
    <row r="203" spans="2:27" x14ac:dyDescent="0.25">
      <c r="B203" s="364" t="s">
        <v>914</v>
      </c>
      <c r="C203" s="364" t="s">
        <v>678</v>
      </c>
      <c r="D203" s="364" t="s">
        <v>679</v>
      </c>
      <c r="E203" s="364" t="s">
        <v>1089</v>
      </c>
      <c r="F203" s="364">
        <v>1</v>
      </c>
      <c r="G203" s="364">
        <v>0</v>
      </c>
      <c r="H203" s="364">
        <v>0</v>
      </c>
      <c r="I203" s="364">
        <v>0</v>
      </c>
      <c r="J203" s="364">
        <v>0</v>
      </c>
      <c r="K203" s="364">
        <v>0</v>
      </c>
      <c r="L203" s="364">
        <v>0</v>
      </c>
      <c r="M203" s="364">
        <v>7</v>
      </c>
      <c r="N203" s="364">
        <v>35</v>
      </c>
      <c r="O203" s="364">
        <v>0</v>
      </c>
      <c r="P203" s="364">
        <v>0</v>
      </c>
      <c r="Q203" s="364">
        <v>0</v>
      </c>
      <c r="R203" s="364">
        <v>0</v>
      </c>
      <c r="S203" s="364">
        <v>0</v>
      </c>
      <c r="T203" s="364">
        <v>0</v>
      </c>
      <c r="U203" s="364">
        <v>0</v>
      </c>
      <c r="V203" s="364">
        <v>1</v>
      </c>
      <c r="W203" s="364">
        <v>35</v>
      </c>
      <c r="X203" s="364">
        <v>0</v>
      </c>
      <c r="Y203" s="364">
        <v>38537.72</v>
      </c>
      <c r="Z203" s="364"/>
      <c r="AA203" s="364"/>
    </row>
    <row r="204" spans="2:27" x14ac:dyDescent="0.25">
      <c r="B204" s="364" t="s">
        <v>914</v>
      </c>
      <c r="C204" s="364" t="s">
        <v>675</v>
      </c>
      <c r="D204" s="364" t="s">
        <v>676</v>
      </c>
      <c r="E204" s="364" t="s">
        <v>1090</v>
      </c>
      <c r="F204" s="364">
        <v>1</v>
      </c>
      <c r="G204" s="364">
        <v>0</v>
      </c>
      <c r="H204" s="364">
        <v>0</v>
      </c>
      <c r="I204" s="364">
        <v>0</v>
      </c>
      <c r="J204" s="364">
        <v>0</v>
      </c>
      <c r="K204" s="364">
        <v>0</v>
      </c>
      <c r="L204" s="364">
        <v>0</v>
      </c>
      <c r="M204" s="364">
        <v>7</v>
      </c>
      <c r="N204" s="364">
        <v>35</v>
      </c>
      <c r="O204" s="364">
        <v>0</v>
      </c>
      <c r="P204" s="364">
        <v>0</v>
      </c>
      <c r="Q204" s="364">
        <v>0</v>
      </c>
      <c r="R204" s="364">
        <v>0</v>
      </c>
      <c r="S204" s="364">
        <v>0</v>
      </c>
      <c r="T204" s="364">
        <v>0</v>
      </c>
      <c r="U204" s="364">
        <v>0</v>
      </c>
      <c r="V204" s="364">
        <v>1</v>
      </c>
      <c r="W204" s="364">
        <v>35</v>
      </c>
      <c r="X204" s="364">
        <v>0</v>
      </c>
      <c r="Y204" s="364">
        <v>38537.72</v>
      </c>
      <c r="Z204" s="364"/>
      <c r="AA204" s="364"/>
    </row>
    <row r="205" spans="2:27" x14ac:dyDescent="0.25">
      <c r="B205" s="364" t="s">
        <v>914</v>
      </c>
      <c r="C205" s="364" t="s">
        <v>590</v>
      </c>
      <c r="D205" s="364" t="s">
        <v>591</v>
      </c>
      <c r="E205" s="364" t="s">
        <v>1091</v>
      </c>
      <c r="F205" s="364">
        <v>1</v>
      </c>
      <c r="G205" s="364">
        <v>0</v>
      </c>
      <c r="H205" s="364">
        <v>0</v>
      </c>
      <c r="I205" s="364">
        <v>0</v>
      </c>
      <c r="J205" s="364">
        <v>0</v>
      </c>
      <c r="K205" s="364">
        <v>0</v>
      </c>
      <c r="L205" s="364">
        <v>0</v>
      </c>
      <c r="M205" s="364">
        <v>7</v>
      </c>
      <c r="N205" s="364">
        <v>35</v>
      </c>
      <c r="O205" s="364">
        <v>0</v>
      </c>
      <c r="P205" s="364">
        <v>0</v>
      </c>
      <c r="Q205" s="364">
        <v>0</v>
      </c>
      <c r="R205" s="364">
        <v>0</v>
      </c>
      <c r="S205" s="364">
        <v>0</v>
      </c>
      <c r="T205" s="364">
        <v>0</v>
      </c>
      <c r="U205" s="364">
        <v>0</v>
      </c>
      <c r="V205" s="364">
        <v>1</v>
      </c>
      <c r="W205" s="364">
        <v>35</v>
      </c>
      <c r="X205" s="364">
        <v>0</v>
      </c>
      <c r="Y205" s="364">
        <v>38537.72</v>
      </c>
      <c r="Z205" s="364"/>
      <c r="AA205" s="364"/>
    </row>
    <row r="206" spans="2:27" x14ac:dyDescent="0.25">
      <c r="B206" s="364" t="s">
        <v>914</v>
      </c>
      <c r="C206" s="364" t="s">
        <v>671</v>
      </c>
      <c r="D206" s="364" t="s">
        <v>672</v>
      </c>
      <c r="E206" s="364" t="s">
        <v>1386</v>
      </c>
      <c r="F206" s="364">
        <v>1</v>
      </c>
      <c r="G206" s="364">
        <v>0</v>
      </c>
      <c r="H206" s="364">
        <v>0</v>
      </c>
      <c r="I206" s="364">
        <v>0</v>
      </c>
      <c r="J206" s="364">
        <v>0</v>
      </c>
      <c r="K206" s="364">
        <v>0</v>
      </c>
      <c r="L206" s="364">
        <v>0</v>
      </c>
      <c r="M206" s="364">
        <v>7</v>
      </c>
      <c r="N206" s="364">
        <v>35</v>
      </c>
      <c r="O206" s="364">
        <v>0</v>
      </c>
      <c r="P206" s="364">
        <v>0</v>
      </c>
      <c r="Q206" s="364">
        <v>0</v>
      </c>
      <c r="R206" s="364">
        <v>0</v>
      </c>
      <c r="S206" s="364">
        <v>0</v>
      </c>
      <c r="T206" s="364">
        <v>0</v>
      </c>
      <c r="U206" s="364">
        <v>0</v>
      </c>
      <c r="V206" s="364">
        <v>1</v>
      </c>
      <c r="W206" s="364">
        <v>35</v>
      </c>
      <c r="X206" s="364">
        <v>0</v>
      </c>
      <c r="Y206" s="364">
        <v>43859.5</v>
      </c>
      <c r="Z206" s="364"/>
      <c r="AA206" s="364"/>
    </row>
    <row r="207" spans="2:27" x14ac:dyDescent="0.25">
      <c r="B207" s="364" t="s">
        <v>914</v>
      </c>
      <c r="C207" s="364" t="s">
        <v>584</v>
      </c>
      <c r="D207" s="364" t="s">
        <v>585</v>
      </c>
      <c r="E207" s="364" t="s">
        <v>1092</v>
      </c>
      <c r="F207" s="364">
        <v>1</v>
      </c>
      <c r="G207" s="364">
        <v>0</v>
      </c>
      <c r="H207" s="364">
        <v>0</v>
      </c>
      <c r="I207" s="364">
        <v>0</v>
      </c>
      <c r="J207" s="364">
        <v>0</v>
      </c>
      <c r="K207" s="364">
        <v>0</v>
      </c>
      <c r="L207" s="364">
        <v>0</v>
      </c>
      <c r="M207" s="364">
        <v>7</v>
      </c>
      <c r="N207" s="364">
        <v>35</v>
      </c>
      <c r="O207" s="364">
        <v>0</v>
      </c>
      <c r="P207" s="364">
        <v>0</v>
      </c>
      <c r="Q207" s="364">
        <v>0</v>
      </c>
      <c r="R207" s="364">
        <v>0</v>
      </c>
      <c r="S207" s="364">
        <v>0</v>
      </c>
      <c r="T207" s="364">
        <v>0</v>
      </c>
      <c r="U207" s="364">
        <v>0</v>
      </c>
      <c r="V207" s="364">
        <v>1</v>
      </c>
      <c r="W207" s="364">
        <v>35</v>
      </c>
      <c r="X207" s="364">
        <v>0</v>
      </c>
      <c r="Y207" s="364">
        <v>41053.94</v>
      </c>
      <c r="Z207" s="364"/>
      <c r="AA207" s="364"/>
    </row>
    <row r="208" spans="2:27" x14ac:dyDescent="0.25">
      <c r="B208" s="364" t="s">
        <v>914</v>
      </c>
      <c r="C208" s="364" t="s">
        <v>580</v>
      </c>
      <c r="D208" s="364" t="s">
        <v>581</v>
      </c>
      <c r="E208" s="364" t="s">
        <v>1093</v>
      </c>
      <c r="F208" s="364">
        <v>1</v>
      </c>
      <c r="G208" s="364">
        <v>0</v>
      </c>
      <c r="H208" s="364">
        <v>0</v>
      </c>
      <c r="I208" s="364">
        <v>0</v>
      </c>
      <c r="J208" s="364">
        <v>0</v>
      </c>
      <c r="K208" s="364">
        <v>0</v>
      </c>
      <c r="L208" s="364">
        <v>0</v>
      </c>
      <c r="M208" s="364">
        <v>7</v>
      </c>
      <c r="N208" s="364">
        <v>35</v>
      </c>
      <c r="O208" s="364">
        <v>0</v>
      </c>
      <c r="P208" s="364">
        <v>0</v>
      </c>
      <c r="Q208" s="364">
        <v>0</v>
      </c>
      <c r="R208" s="364">
        <v>0</v>
      </c>
      <c r="S208" s="364">
        <v>0</v>
      </c>
      <c r="T208" s="364">
        <v>0</v>
      </c>
      <c r="U208" s="364">
        <v>0</v>
      </c>
      <c r="V208" s="364">
        <v>1</v>
      </c>
      <c r="W208" s="364">
        <v>35</v>
      </c>
      <c r="X208" s="364">
        <v>0</v>
      </c>
      <c r="Y208" s="364">
        <v>41253.94</v>
      </c>
      <c r="Z208" s="364"/>
      <c r="AA208" s="364"/>
    </row>
    <row r="209" spans="2:27" x14ac:dyDescent="0.25">
      <c r="B209" s="364" t="s">
        <v>914</v>
      </c>
      <c r="C209" s="364" t="s">
        <v>1094</v>
      </c>
      <c r="D209" s="364" t="s">
        <v>666</v>
      </c>
      <c r="E209" s="364" t="s">
        <v>1095</v>
      </c>
      <c r="F209" s="364">
        <v>1</v>
      </c>
      <c r="G209" s="364">
        <v>0</v>
      </c>
      <c r="H209" s="364">
        <v>0</v>
      </c>
      <c r="I209" s="364">
        <v>0</v>
      </c>
      <c r="J209" s="364">
        <v>0</v>
      </c>
      <c r="K209" s="364">
        <v>0</v>
      </c>
      <c r="L209" s="364">
        <v>0</v>
      </c>
      <c r="M209" s="364">
        <v>7</v>
      </c>
      <c r="N209" s="364">
        <v>35</v>
      </c>
      <c r="O209" s="364">
        <v>0</v>
      </c>
      <c r="P209" s="364">
        <v>0</v>
      </c>
      <c r="Q209" s="364">
        <v>0</v>
      </c>
      <c r="R209" s="364">
        <v>0</v>
      </c>
      <c r="S209" s="364">
        <v>0</v>
      </c>
      <c r="T209" s="364">
        <v>0</v>
      </c>
      <c r="U209" s="364">
        <v>0</v>
      </c>
      <c r="V209" s="364">
        <v>1</v>
      </c>
      <c r="W209" s="364">
        <v>35</v>
      </c>
      <c r="X209" s="364">
        <v>0</v>
      </c>
      <c r="Y209" s="364">
        <v>41053.94</v>
      </c>
      <c r="Z209" s="364"/>
      <c r="AA209" s="364"/>
    </row>
    <row r="210" spans="2:27" x14ac:dyDescent="0.25">
      <c r="B210" s="364" t="s">
        <v>914</v>
      </c>
      <c r="C210" s="364" t="s">
        <v>662</v>
      </c>
      <c r="D210" s="364" t="s">
        <v>663</v>
      </c>
      <c r="E210" s="364" t="s">
        <v>1387</v>
      </c>
      <c r="F210" s="364">
        <v>1</v>
      </c>
      <c r="G210" s="364">
        <v>0</v>
      </c>
      <c r="H210" s="364">
        <v>0</v>
      </c>
      <c r="I210" s="364">
        <v>0</v>
      </c>
      <c r="J210" s="364">
        <v>0</v>
      </c>
      <c r="K210" s="364">
        <v>0</v>
      </c>
      <c r="L210" s="364">
        <v>0</v>
      </c>
      <c r="M210" s="364">
        <v>7</v>
      </c>
      <c r="N210" s="364">
        <v>35</v>
      </c>
      <c r="O210" s="364">
        <v>0</v>
      </c>
      <c r="P210" s="364">
        <v>0</v>
      </c>
      <c r="Q210" s="364">
        <v>0</v>
      </c>
      <c r="R210" s="364">
        <v>0</v>
      </c>
      <c r="S210" s="364">
        <v>0</v>
      </c>
      <c r="T210" s="364">
        <v>0</v>
      </c>
      <c r="U210" s="364">
        <v>0</v>
      </c>
      <c r="V210" s="364">
        <v>1</v>
      </c>
      <c r="W210" s="364">
        <v>35</v>
      </c>
      <c r="X210" s="364">
        <v>0</v>
      </c>
      <c r="Y210" s="364">
        <v>38537.72</v>
      </c>
      <c r="Z210" s="364"/>
      <c r="AA210" s="364"/>
    </row>
    <row r="211" spans="2:27" x14ac:dyDescent="0.25">
      <c r="B211" s="364" t="s">
        <v>914</v>
      </c>
      <c r="C211" s="364" t="s">
        <v>711</v>
      </c>
      <c r="D211" s="364" t="s">
        <v>712</v>
      </c>
      <c r="E211" s="364" t="s">
        <v>1096</v>
      </c>
      <c r="F211" s="364">
        <v>1</v>
      </c>
      <c r="G211" s="364">
        <v>0</v>
      </c>
      <c r="H211" s="364">
        <v>0</v>
      </c>
      <c r="I211" s="364">
        <v>0</v>
      </c>
      <c r="J211" s="364">
        <v>0</v>
      </c>
      <c r="K211" s="364">
        <v>0</v>
      </c>
      <c r="L211" s="364">
        <v>0</v>
      </c>
      <c r="M211" s="364">
        <v>7</v>
      </c>
      <c r="N211" s="364">
        <v>35</v>
      </c>
      <c r="O211" s="364">
        <v>0</v>
      </c>
      <c r="P211" s="364">
        <v>0</v>
      </c>
      <c r="Q211" s="364">
        <v>0</v>
      </c>
      <c r="R211" s="364">
        <v>0</v>
      </c>
      <c r="S211" s="364">
        <v>0</v>
      </c>
      <c r="T211" s="364">
        <v>0</v>
      </c>
      <c r="U211" s="364">
        <v>0</v>
      </c>
      <c r="V211" s="364">
        <v>1</v>
      </c>
      <c r="W211" s="364">
        <v>35</v>
      </c>
      <c r="X211" s="364">
        <v>0</v>
      </c>
      <c r="Y211" s="364">
        <v>38537.72</v>
      </c>
      <c r="Z211" s="364"/>
      <c r="AA211" s="364"/>
    </row>
    <row r="212" spans="2:27" x14ac:dyDescent="0.25">
      <c r="B212" s="364" t="s">
        <v>914</v>
      </c>
      <c r="C212" s="364" t="s">
        <v>412</v>
      </c>
      <c r="D212" s="364" t="s">
        <v>413</v>
      </c>
      <c r="E212" s="364" t="s">
        <v>1097</v>
      </c>
      <c r="F212" s="364">
        <v>1</v>
      </c>
      <c r="G212" s="364">
        <v>0</v>
      </c>
      <c r="H212" s="364">
        <v>0</v>
      </c>
      <c r="I212" s="364">
        <v>0</v>
      </c>
      <c r="J212" s="364">
        <v>0</v>
      </c>
      <c r="K212" s="364">
        <v>0</v>
      </c>
      <c r="L212" s="364">
        <v>0</v>
      </c>
      <c r="M212" s="364">
        <v>7</v>
      </c>
      <c r="N212" s="364">
        <v>35</v>
      </c>
      <c r="O212" s="364">
        <v>0</v>
      </c>
      <c r="P212" s="364">
        <v>0</v>
      </c>
      <c r="Q212" s="364">
        <v>0</v>
      </c>
      <c r="R212" s="364">
        <v>0</v>
      </c>
      <c r="S212" s="364">
        <v>0</v>
      </c>
      <c r="T212" s="364">
        <v>0</v>
      </c>
      <c r="U212" s="364">
        <v>0</v>
      </c>
      <c r="V212" s="364">
        <v>1</v>
      </c>
      <c r="W212" s="364">
        <v>35</v>
      </c>
      <c r="X212" s="364">
        <v>0</v>
      </c>
      <c r="Y212" s="364">
        <v>32357.84</v>
      </c>
      <c r="Z212" s="364"/>
      <c r="AA212" s="364"/>
    </row>
    <row r="213" spans="2:27" x14ac:dyDescent="0.25">
      <c r="B213" s="364" t="s">
        <v>914</v>
      </c>
      <c r="C213" s="364" t="s">
        <v>334</v>
      </c>
      <c r="D213" s="364" t="s">
        <v>335</v>
      </c>
      <c r="E213" s="364" t="s">
        <v>1388</v>
      </c>
      <c r="F213" s="364">
        <v>1</v>
      </c>
      <c r="G213" s="364">
        <v>0</v>
      </c>
      <c r="H213" s="364">
        <v>0</v>
      </c>
      <c r="I213" s="364">
        <v>0</v>
      </c>
      <c r="J213" s="364">
        <v>0</v>
      </c>
      <c r="K213" s="364">
        <v>0</v>
      </c>
      <c r="L213" s="364">
        <v>0</v>
      </c>
      <c r="M213" s="364">
        <v>7</v>
      </c>
      <c r="N213" s="364">
        <v>35</v>
      </c>
      <c r="O213" s="364">
        <v>0</v>
      </c>
      <c r="P213" s="364">
        <v>0</v>
      </c>
      <c r="Q213" s="364">
        <v>0</v>
      </c>
      <c r="R213" s="364">
        <v>0</v>
      </c>
      <c r="S213" s="364">
        <v>0</v>
      </c>
      <c r="T213" s="364">
        <v>0</v>
      </c>
      <c r="U213" s="364">
        <v>0</v>
      </c>
      <c r="V213" s="364">
        <v>1</v>
      </c>
      <c r="W213" s="364">
        <v>35</v>
      </c>
      <c r="X213" s="364">
        <v>0</v>
      </c>
      <c r="Y213" s="364">
        <v>36892.42</v>
      </c>
      <c r="Z213" s="364"/>
      <c r="AA213" s="364"/>
    </row>
    <row r="214" spans="2:27" x14ac:dyDescent="0.25">
      <c r="B214" s="364" t="s">
        <v>914</v>
      </c>
      <c r="C214" s="364" t="s">
        <v>348</v>
      </c>
      <c r="D214" s="364" t="s">
        <v>349</v>
      </c>
      <c r="E214" s="364" t="s">
        <v>1098</v>
      </c>
      <c r="F214" s="364">
        <v>1</v>
      </c>
      <c r="G214" s="364">
        <v>0</v>
      </c>
      <c r="H214" s="364">
        <v>0</v>
      </c>
      <c r="I214" s="364">
        <v>0</v>
      </c>
      <c r="J214" s="364">
        <v>0</v>
      </c>
      <c r="K214" s="364">
        <v>0</v>
      </c>
      <c r="L214" s="364">
        <v>0</v>
      </c>
      <c r="M214" s="364">
        <v>7</v>
      </c>
      <c r="N214" s="364">
        <v>35</v>
      </c>
      <c r="O214" s="364">
        <v>0</v>
      </c>
      <c r="P214" s="364">
        <v>0</v>
      </c>
      <c r="Q214" s="364">
        <v>0</v>
      </c>
      <c r="R214" s="364">
        <v>0</v>
      </c>
      <c r="S214" s="364">
        <v>0</v>
      </c>
      <c r="T214" s="364">
        <v>0</v>
      </c>
      <c r="U214" s="364">
        <v>0</v>
      </c>
      <c r="V214" s="364">
        <v>1</v>
      </c>
      <c r="W214" s="364">
        <v>35</v>
      </c>
      <c r="X214" s="364">
        <v>0</v>
      </c>
      <c r="Y214" s="364">
        <v>36892.42</v>
      </c>
      <c r="Z214" s="364"/>
      <c r="AA214" s="364"/>
    </row>
    <row r="215" spans="2:27" x14ac:dyDescent="0.25">
      <c r="B215" s="364" t="s">
        <v>914</v>
      </c>
      <c r="C215" s="364" t="s">
        <v>397</v>
      </c>
      <c r="D215" s="364" t="s">
        <v>398</v>
      </c>
      <c r="E215" s="364" t="s">
        <v>1099</v>
      </c>
      <c r="F215" s="364">
        <v>1</v>
      </c>
      <c r="G215" s="364">
        <v>0</v>
      </c>
      <c r="H215" s="364">
        <v>0</v>
      </c>
      <c r="I215" s="364">
        <v>0</v>
      </c>
      <c r="J215" s="364">
        <v>0</v>
      </c>
      <c r="K215" s="364">
        <v>0</v>
      </c>
      <c r="L215" s="364">
        <v>0</v>
      </c>
      <c r="M215" s="364">
        <v>7</v>
      </c>
      <c r="N215" s="364">
        <v>35</v>
      </c>
      <c r="O215" s="364">
        <v>0</v>
      </c>
      <c r="P215" s="364">
        <v>0</v>
      </c>
      <c r="Q215" s="364">
        <v>0</v>
      </c>
      <c r="R215" s="364">
        <v>0</v>
      </c>
      <c r="S215" s="364">
        <v>0</v>
      </c>
      <c r="T215" s="364">
        <v>0</v>
      </c>
      <c r="U215" s="364">
        <v>0</v>
      </c>
      <c r="V215" s="364">
        <v>1</v>
      </c>
      <c r="W215" s="364">
        <v>35</v>
      </c>
      <c r="X215" s="364">
        <v>0</v>
      </c>
      <c r="Y215" s="364">
        <v>37543.599999999999</v>
      </c>
      <c r="Z215" s="364"/>
      <c r="AA215" s="364"/>
    </row>
    <row r="216" spans="2:27" x14ac:dyDescent="0.25">
      <c r="B216" s="364" t="s">
        <v>914</v>
      </c>
      <c r="C216" s="364" t="s">
        <v>404</v>
      </c>
      <c r="D216" s="364" t="s">
        <v>405</v>
      </c>
      <c r="E216" s="364" t="s">
        <v>1389</v>
      </c>
      <c r="F216" s="364">
        <v>1</v>
      </c>
      <c r="G216" s="364">
        <v>0</v>
      </c>
      <c r="H216" s="364">
        <v>0</v>
      </c>
      <c r="I216" s="364">
        <v>0</v>
      </c>
      <c r="J216" s="364">
        <v>0</v>
      </c>
      <c r="K216" s="364">
        <v>0</v>
      </c>
      <c r="L216" s="364">
        <v>0</v>
      </c>
      <c r="M216" s="364">
        <v>7</v>
      </c>
      <c r="N216" s="364">
        <v>35</v>
      </c>
      <c r="O216" s="364">
        <v>0</v>
      </c>
      <c r="P216" s="364">
        <v>0</v>
      </c>
      <c r="Q216" s="364">
        <v>0</v>
      </c>
      <c r="R216" s="364">
        <v>0</v>
      </c>
      <c r="S216" s="364">
        <v>0</v>
      </c>
      <c r="T216" s="364">
        <v>0</v>
      </c>
      <c r="U216" s="364">
        <v>0</v>
      </c>
      <c r="V216" s="364">
        <v>1</v>
      </c>
      <c r="W216" s="364">
        <v>35</v>
      </c>
      <c r="X216" s="364">
        <v>0</v>
      </c>
      <c r="Y216" s="364">
        <v>36892.42</v>
      </c>
      <c r="Z216" s="364"/>
      <c r="AA216" s="364"/>
    </row>
    <row r="217" spans="2:27" x14ac:dyDescent="0.25">
      <c r="B217" s="364" t="s">
        <v>914</v>
      </c>
      <c r="C217" s="364" t="s">
        <v>399</v>
      </c>
      <c r="D217" s="364" t="s">
        <v>817</v>
      </c>
      <c r="E217" s="364" t="s">
        <v>1100</v>
      </c>
      <c r="F217" s="364">
        <v>1</v>
      </c>
      <c r="G217" s="364">
        <v>0</v>
      </c>
      <c r="H217" s="364">
        <v>0</v>
      </c>
      <c r="I217" s="364">
        <v>0</v>
      </c>
      <c r="J217" s="364">
        <v>0</v>
      </c>
      <c r="K217" s="364">
        <v>0</v>
      </c>
      <c r="L217" s="364">
        <v>0</v>
      </c>
      <c r="M217" s="364">
        <v>7</v>
      </c>
      <c r="N217" s="364">
        <v>35</v>
      </c>
      <c r="O217" s="364">
        <v>0</v>
      </c>
      <c r="P217" s="364">
        <v>0</v>
      </c>
      <c r="Q217" s="364">
        <v>0</v>
      </c>
      <c r="R217" s="364">
        <v>0</v>
      </c>
      <c r="S217" s="364">
        <v>0</v>
      </c>
      <c r="T217" s="364">
        <v>0</v>
      </c>
      <c r="U217" s="364">
        <v>0</v>
      </c>
      <c r="V217" s="364">
        <v>1</v>
      </c>
      <c r="W217" s="364">
        <v>35</v>
      </c>
      <c r="X217" s="364">
        <v>0</v>
      </c>
      <c r="Y217" s="364">
        <v>34387.42</v>
      </c>
      <c r="Z217" s="364"/>
      <c r="AA217" s="364"/>
    </row>
    <row r="218" spans="2:27" x14ac:dyDescent="0.25">
      <c r="B218" s="364" t="s">
        <v>914</v>
      </c>
      <c r="C218" s="364" t="s">
        <v>400</v>
      </c>
      <c r="D218" s="364" t="s">
        <v>401</v>
      </c>
      <c r="E218" s="364" t="s">
        <v>1101</v>
      </c>
      <c r="F218" s="364">
        <v>1</v>
      </c>
      <c r="G218" s="364">
        <v>0</v>
      </c>
      <c r="H218" s="364">
        <v>0</v>
      </c>
      <c r="I218" s="364">
        <v>0</v>
      </c>
      <c r="J218" s="364">
        <v>0</v>
      </c>
      <c r="K218" s="364">
        <v>0</v>
      </c>
      <c r="L218" s="364">
        <v>0</v>
      </c>
      <c r="M218" s="364">
        <v>7</v>
      </c>
      <c r="N218" s="364">
        <v>35</v>
      </c>
      <c r="O218" s="364">
        <v>0</v>
      </c>
      <c r="P218" s="364">
        <v>0</v>
      </c>
      <c r="Q218" s="364">
        <v>0</v>
      </c>
      <c r="R218" s="364">
        <v>0</v>
      </c>
      <c r="S218" s="364">
        <v>0</v>
      </c>
      <c r="T218" s="364">
        <v>0</v>
      </c>
      <c r="U218" s="364">
        <v>0</v>
      </c>
      <c r="V218" s="364">
        <v>1</v>
      </c>
      <c r="W218" s="364">
        <v>35</v>
      </c>
      <c r="X218" s="364">
        <v>0</v>
      </c>
      <c r="Y218" s="364">
        <v>34387.410000000003</v>
      </c>
      <c r="Z218" s="364"/>
      <c r="AA218" s="364"/>
    </row>
    <row r="219" spans="2:27" x14ac:dyDescent="0.25">
      <c r="B219" s="364" t="s">
        <v>914</v>
      </c>
      <c r="C219" s="364" t="s">
        <v>408</v>
      </c>
      <c r="D219" s="364" t="s">
        <v>409</v>
      </c>
      <c r="E219" s="364" t="s">
        <v>1102</v>
      </c>
      <c r="F219" s="364">
        <v>1</v>
      </c>
      <c r="G219" s="364">
        <v>0</v>
      </c>
      <c r="H219" s="364">
        <v>0</v>
      </c>
      <c r="I219" s="364">
        <v>0</v>
      </c>
      <c r="J219" s="364">
        <v>0</v>
      </c>
      <c r="K219" s="364">
        <v>0</v>
      </c>
      <c r="L219" s="364">
        <v>0</v>
      </c>
      <c r="M219" s="364">
        <v>7</v>
      </c>
      <c r="N219" s="364">
        <v>35</v>
      </c>
      <c r="O219" s="364">
        <v>0</v>
      </c>
      <c r="P219" s="364">
        <v>0</v>
      </c>
      <c r="Q219" s="364">
        <v>0</v>
      </c>
      <c r="R219" s="364">
        <v>0</v>
      </c>
      <c r="S219" s="364">
        <v>0</v>
      </c>
      <c r="T219" s="364">
        <v>0</v>
      </c>
      <c r="U219" s="364">
        <v>0</v>
      </c>
      <c r="V219" s="364">
        <v>1</v>
      </c>
      <c r="W219" s="364">
        <v>35</v>
      </c>
      <c r="X219" s="364">
        <v>0</v>
      </c>
      <c r="Y219" s="364">
        <v>37326.53</v>
      </c>
      <c r="Z219" s="364"/>
      <c r="AA219" s="364"/>
    </row>
    <row r="220" spans="2:27" x14ac:dyDescent="0.25">
      <c r="B220" s="364" t="s">
        <v>914</v>
      </c>
      <c r="C220" s="364" t="s">
        <v>342</v>
      </c>
      <c r="D220" s="364" t="s">
        <v>343</v>
      </c>
      <c r="E220" s="364" t="s">
        <v>1103</v>
      </c>
      <c r="F220" s="364">
        <v>1</v>
      </c>
      <c r="G220" s="364">
        <v>0</v>
      </c>
      <c r="H220" s="364">
        <v>0</v>
      </c>
      <c r="I220" s="364">
        <v>0</v>
      </c>
      <c r="J220" s="364">
        <v>0</v>
      </c>
      <c r="K220" s="364">
        <v>0</v>
      </c>
      <c r="L220" s="364">
        <v>0</v>
      </c>
      <c r="M220" s="364">
        <v>7</v>
      </c>
      <c r="N220" s="364">
        <v>35</v>
      </c>
      <c r="O220" s="364">
        <v>0</v>
      </c>
      <c r="P220" s="364">
        <v>0</v>
      </c>
      <c r="Q220" s="364">
        <v>0</v>
      </c>
      <c r="R220" s="364">
        <v>0</v>
      </c>
      <c r="S220" s="364">
        <v>0</v>
      </c>
      <c r="T220" s="364">
        <v>0</v>
      </c>
      <c r="U220" s="364">
        <v>0</v>
      </c>
      <c r="V220" s="364">
        <v>1</v>
      </c>
      <c r="W220" s="364">
        <v>35</v>
      </c>
      <c r="X220" s="364">
        <v>0</v>
      </c>
      <c r="Y220" s="364">
        <v>37543.599999999999</v>
      </c>
      <c r="Z220" s="364"/>
      <c r="AA220" s="364"/>
    </row>
    <row r="221" spans="2:27" x14ac:dyDescent="0.25">
      <c r="B221" s="364" t="s">
        <v>914</v>
      </c>
      <c r="C221" s="364" t="s">
        <v>709</v>
      </c>
      <c r="D221" s="364" t="s">
        <v>710</v>
      </c>
      <c r="E221" s="364" t="s">
        <v>1104</v>
      </c>
      <c r="F221" s="364">
        <v>1</v>
      </c>
      <c r="G221" s="364">
        <v>0</v>
      </c>
      <c r="H221" s="364">
        <v>0</v>
      </c>
      <c r="I221" s="364">
        <v>0</v>
      </c>
      <c r="J221" s="364">
        <v>0</v>
      </c>
      <c r="K221" s="364">
        <v>0</v>
      </c>
      <c r="L221" s="364">
        <v>0</v>
      </c>
      <c r="M221" s="364">
        <v>7</v>
      </c>
      <c r="N221" s="364">
        <v>35</v>
      </c>
      <c r="O221" s="364">
        <v>0</v>
      </c>
      <c r="P221" s="364">
        <v>0</v>
      </c>
      <c r="Q221" s="364">
        <v>0</v>
      </c>
      <c r="R221" s="364">
        <v>0</v>
      </c>
      <c r="S221" s="364">
        <v>0</v>
      </c>
      <c r="T221" s="364">
        <v>0</v>
      </c>
      <c r="U221" s="364">
        <v>0</v>
      </c>
      <c r="V221" s="364">
        <v>1</v>
      </c>
      <c r="W221" s="364">
        <v>35</v>
      </c>
      <c r="X221" s="364">
        <v>0</v>
      </c>
      <c r="Y221" s="364">
        <v>38537.72</v>
      </c>
      <c r="Z221" s="364"/>
      <c r="AA221" s="364"/>
    </row>
    <row r="222" spans="2:27" x14ac:dyDescent="0.25">
      <c r="B222" s="364" t="s">
        <v>914</v>
      </c>
      <c r="C222" s="364" t="s">
        <v>713</v>
      </c>
      <c r="D222" s="364" t="s">
        <v>714</v>
      </c>
      <c r="E222" s="364" t="s">
        <v>1390</v>
      </c>
      <c r="F222" s="364">
        <v>1</v>
      </c>
      <c r="G222" s="364">
        <v>0</v>
      </c>
      <c r="H222" s="364">
        <v>0</v>
      </c>
      <c r="I222" s="364">
        <v>0</v>
      </c>
      <c r="J222" s="364">
        <v>0</v>
      </c>
      <c r="K222" s="364">
        <v>0</v>
      </c>
      <c r="L222" s="364">
        <v>0</v>
      </c>
      <c r="M222" s="364">
        <v>7</v>
      </c>
      <c r="N222" s="364">
        <v>35</v>
      </c>
      <c r="O222" s="364">
        <v>0</v>
      </c>
      <c r="P222" s="364">
        <v>0</v>
      </c>
      <c r="Q222" s="364">
        <v>0</v>
      </c>
      <c r="R222" s="364">
        <v>0</v>
      </c>
      <c r="S222" s="364">
        <v>0</v>
      </c>
      <c r="T222" s="364">
        <v>0</v>
      </c>
      <c r="U222" s="364">
        <v>0</v>
      </c>
      <c r="V222" s="364">
        <v>1</v>
      </c>
      <c r="W222" s="364">
        <v>35</v>
      </c>
      <c r="X222" s="364">
        <v>0</v>
      </c>
      <c r="Y222" s="364">
        <v>38537.72</v>
      </c>
      <c r="Z222" s="364"/>
      <c r="AA222" s="364"/>
    </row>
    <row r="223" spans="2:27" x14ac:dyDescent="0.25">
      <c r="B223" s="364" t="s">
        <v>914</v>
      </c>
      <c r="C223" s="364" t="s">
        <v>717</v>
      </c>
      <c r="D223" s="364" t="s">
        <v>718</v>
      </c>
      <c r="E223" s="364" t="s">
        <v>1105</v>
      </c>
      <c r="F223" s="364">
        <v>1</v>
      </c>
      <c r="G223" s="364">
        <v>0</v>
      </c>
      <c r="H223" s="364">
        <v>0</v>
      </c>
      <c r="I223" s="364">
        <v>0</v>
      </c>
      <c r="J223" s="364">
        <v>0</v>
      </c>
      <c r="K223" s="364">
        <v>0</v>
      </c>
      <c r="L223" s="364">
        <v>0</v>
      </c>
      <c r="M223" s="364">
        <v>7</v>
      </c>
      <c r="N223" s="364">
        <v>35</v>
      </c>
      <c r="O223" s="364">
        <v>0</v>
      </c>
      <c r="P223" s="364">
        <v>0</v>
      </c>
      <c r="Q223" s="364">
        <v>0</v>
      </c>
      <c r="R223" s="364">
        <v>0</v>
      </c>
      <c r="S223" s="364">
        <v>0</v>
      </c>
      <c r="T223" s="364">
        <v>0</v>
      </c>
      <c r="U223" s="364">
        <v>0</v>
      </c>
      <c r="V223" s="364">
        <v>1</v>
      </c>
      <c r="W223" s="364">
        <v>35</v>
      </c>
      <c r="X223" s="364">
        <v>0</v>
      </c>
      <c r="Y223" s="364">
        <v>38537.72</v>
      </c>
      <c r="Z223" s="364"/>
      <c r="AA223" s="364"/>
    </row>
    <row r="224" spans="2:27" x14ac:dyDescent="0.25">
      <c r="B224" s="364" t="s">
        <v>914</v>
      </c>
      <c r="C224" s="364" t="s">
        <v>715</v>
      </c>
      <c r="D224" s="364" t="s">
        <v>716</v>
      </c>
      <c r="E224" s="364" t="s">
        <v>1106</v>
      </c>
      <c r="F224" s="364">
        <v>1</v>
      </c>
      <c r="G224" s="364">
        <v>0</v>
      </c>
      <c r="H224" s="364">
        <v>0</v>
      </c>
      <c r="I224" s="364">
        <v>0</v>
      </c>
      <c r="J224" s="364">
        <v>0</v>
      </c>
      <c r="K224" s="364">
        <v>0</v>
      </c>
      <c r="L224" s="364">
        <v>0</v>
      </c>
      <c r="M224" s="364">
        <v>7</v>
      </c>
      <c r="N224" s="364">
        <v>35</v>
      </c>
      <c r="O224" s="364">
        <v>0</v>
      </c>
      <c r="P224" s="364">
        <v>0</v>
      </c>
      <c r="Q224" s="364">
        <v>0</v>
      </c>
      <c r="R224" s="364">
        <v>0</v>
      </c>
      <c r="S224" s="364">
        <v>0</v>
      </c>
      <c r="T224" s="364">
        <v>0</v>
      </c>
      <c r="U224" s="364">
        <v>0</v>
      </c>
      <c r="V224" s="364">
        <v>1</v>
      </c>
      <c r="W224" s="364">
        <v>35</v>
      </c>
      <c r="X224" s="364">
        <v>0</v>
      </c>
      <c r="Y224" s="364">
        <v>38537.72</v>
      </c>
      <c r="Z224" s="364"/>
      <c r="AA224" s="364"/>
    </row>
    <row r="225" spans="2:27" x14ac:dyDescent="0.25">
      <c r="B225" s="364" t="s">
        <v>914</v>
      </c>
      <c r="C225" s="364" t="s">
        <v>752</v>
      </c>
      <c r="D225" s="364" t="s">
        <v>753</v>
      </c>
      <c r="E225" s="364" t="s">
        <v>1108</v>
      </c>
      <c r="F225" s="364">
        <v>1</v>
      </c>
      <c r="G225" s="364">
        <v>0</v>
      </c>
      <c r="H225" s="364">
        <v>0</v>
      </c>
      <c r="I225" s="364">
        <v>0</v>
      </c>
      <c r="J225" s="364">
        <v>0</v>
      </c>
      <c r="K225" s="364">
        <v>0</v>
      </c>
      <c r="L225" s="364">
        <v>0</v>
      </c>
      <c r="M225" s="364">
        <v>7</v>
      </c>
      <c r="N225" s="364">
        <v>35</v>
      </c>
      <c r="O225" s="364">
        <v>0</v>
      </c>
      <c r="P225" s="364">
        <v>0</v>
      </c>
      <c r="Q225" s="364">
        <v>0</v>
      </c>
      <c r="R225" s="364">
        <v>0</v>
      </c>
      <c r="S225" s="364">
        <v>0</v>
      </c>
      <c r="T225" s="364">
        <v>0</v>
      </c>
      <c r="U225" s="364">
        <v>0</v>
      </c>
      <c r="V225" s="364">
        <v>1</v>
      </c>
      <c r="W225" s="364">
        <v>35</v>
      </c>
      <c r="X225" s="364">
        <v>0</v>
      </c>
      <c r="Y225" s="364">
        <v>70163.490000000005</v>
      </c>
      <c r="Z225" s="364"/>
      <c r="AA225" s="364"/>
    </row>
    <row r="226" spans="2:27" x14ac:dyDescent="0.25">
      <c r="B226" s="364" t="s">
        <v>914</v>
      </c>
      <c r="C226" s="364" t="s">
        <v>719</v>
      </c>
      <c r="D226" s="364" t="s">
        <v>720</v>
      </c>
      <c r="E226" s="364" t="s">
        <v>1109</v>
      </c>
      <c r="F226" s="364">
        <v>1</v>
      </c>
      <c r="G226" s="364">
        <v>0</v>
      </c>
      <c r="H226" s="364">
        <v>0</v>
      </c>
      <c r="I226" s="364">
        <v>0</v>
      </c>
      <c r="J226" s="364">
        <v>0</v>
      </c>
      <c r="K226" s="364">
        <v>0</v>
      </c>
      <c r="L226" s="364">
        <v>0</v>
      </c>
      <c r="M226" s="364">
        <v>7</v>
      </c>
      <c r="N226" s="364">
        <v>35</v>
      </c>
      <c r="O226" s="364">
        <v>0</v>
      </c>
      <c r="P226" s="364">
        <v>0</v>
      </c>
      <c r="Q226" s="364">
        <v>0</v>
      </c>
      <c r="R226" s="364">
        <v>0</v>
      </c>
      <c r="S226" s="364">
        <v>0</v>
      </c>
      <c r="T226" s="364">
        <v>0</v>
      </c>
      <c r="U226" s="364">
        <v>0</v>
      </c>
      <c r="V226" s="364">
        <v>1</v>
      </c>
      <c r="W226" s="364">
        <v>35</v>
      </c>
      <c r="X226" s="364">
        <v>0</v>
      </c>
      <c r="Y226" s="364">
        <v>38537.72</v>
      </c>
      <c r="Z226" s="364"/>
      <c r="AA226" s="364"/>
    </row>
    <row r="227" spans="2:27" x14ac:dyDescent="0.25">
      <c r="B227" s="364" t="s">
        <v>914</v>
      </c>
      <c r="C227" s="364" t="s">
        <v>721</v>
      </c>
      <c r="D227" s="364" t="s">
        <v>722</v>
      </c>
      <c r="E227" s="364" t="s">
        <v>1110</v>
      </c>
      <c r="F227" s="364">
        <v>1</v>
      </c>
      <c r="G227" s="364">
        <v>0</v>
      </c>
      <c r="H227" s="364">
        <v>0</v>
      </c>
      <c r="I227" s="364">
        <v>0</v>
      </c>
      <c r="J227" s="364">
        <v>0</v>
      </c>
      <c r="K227" s="364">
        <v>0</v>
      </c>
      <c r="L227" s="364">
        <v>0</v>
      </c>
      <c r="M227" s="364">
        <v>7</v>
      </c>
      <c r="N227" s="364">
        <v>35</v>
      </c>
      <c r="O227" s="364">
        <v>0</v>
      </c>
      <c r="P227" s="364">
        <v>0</v>
      </c>
      <c r="Q227" s="364">
        <v>0</v>
      </c>
      <c r="R227" s="364">
        <v>0</v>
      </c>
      <c r="S227" s="364">
        <v>0</v>
      </c>
      <c r="T227" s="364">
        <v>0</v>
      </c>
      <c r="U227" s="364">
        <v>0</v>
      </c>
      <c r="V227" s="364">
        <v>1</v>
      </c>
      <c r="W227" s="364">
        <v>35</v>
      </c>
      <c r="X227" s="364">
        <v>0</v>
      </c>
      <c r="Y227" s="364">
        <v>38777.72</v>
      </c>
      <c r="Z227" s="364"/>
      <c r="AA227" s="364"/>
    </row>
    <row r="228" spans="2:27" x14ac:dyDescent="0.25">
      <c r="B228" s="364" t="s">
        <v>914</v>
      </c>
      <c r="C228" s="364" t="s">
        <v>724</v>
      </c>
      <c r="D228" s="364" t="s">
        <v>725</v>
      </c>
      <c r="E228" s="364" t="s">
        <v>1111</v>
      </c>
      <c r="F228" s="364">
        <v>1</v>
      </c>
      <c r="G228" s="364">
        <v>0</v>
      </c>
      <c r="H228" s="364">
        <v>0</v>
      </c>
      <c r="I228" s="364">
        <v>0</v>
      </c>
      <c r="J228" s="364">
        <v>0</v>
      </c>
      <c r="K228" s="364">
        <v>0</v>
      </c>
      <c r="L228" s="364">
        <v>0</v>
      </c>
      <c r="M228" s="364">
        <v>7</v>
      </c>
      <c r="N228" s="364">
        <v>35</v>
      </c>
      <c r="O228" s="364">
        <v>0</v>
      </c>
      <c r="P228" s="364">
        <v>0</v>
      </c>
      <c r="Q228" s="364">
        <v>0</v>
      </c>
      <c r="R228" s="364">
        <v>0</v>
      </c>
      <c r="S228" s="364">
        <v>0</v>
      </c>
      <c r="T228" s="364">
        <v>0</v>
      </c>
      <c r="U228" s="364">
        <v>0</v>
      </c>
      <c r="V228" s="364">
        <v>1</v>
      </c>
      <c r="W228" s="364">
        <v>35</v>
      </c>
      <c r="X228" s="364">
        <v>0</v>
      </c>
      <c r="Y228" s="364">
        <v>43859.48</v>
      </c>
      <c r="Z228" s="364"/>
      <c r="AA228" s="364"/>
    </row>
    <row r="229" spans="2:27" x14ac:dyDescent="0.25">
      <c r="B229" s="364" t="s">
        <v>914</v>
      </c>
      <c r="C229" s="364" t="s">
        <v>1112</v>
      </c>
      <c r="D229" s="364" t="s">
        <v>723</v>
      </c>
      <c r="E229" s="364" t="s">
        <v>1113</v>
      </c>
      <c r="F229" s="364">
        <v>1</v>
      </c>
      <c r="G229" s="364">
        <v>0</v>
      </c>
      <c r="H229" s="364">
        <v>0</v>
      </c>
      <c r="I229" s="364">
        <v>0</v>
      </c>
      <c r="J229" s="364">
        <v>0</v>
      </c>
      <c r="K229" s="364">
        <v>0</v>
      </c>
      <c r="L229" s="364">
        <v>0</v>
      </c>
      <c r="M229" s="364">
        <v>7</v>
      </c>
      <c r="N229" s="364">
        <v>35</v>
      </c>
      <c r="O229" s="364">
        <v>0</v>
      </c>
      <c r="P229" s="364">
        <v>0</v>
      </c>
      <c r="Q229" s="364">
        <v>0</v>
      </c>
      <c r="R229" s="364">
        <v>0</v>
      </c>
      <c r="S229" s="364">
        <v>0</v>
      </c>
      <c r="T229" s="364">
        <v>0</v>
      </c>
      <c r="U229" s="364">
        <v>0</v>
      </c>
      <c r="V229" s="364">
        <v>1</v>
      </c>
      <c r="W229" s="364">
        <v>35</v>
      </c>
      <c r="X229" s="364">
        <v>0</v>
      </c>
      <c r="Y229" s="364">
        <v>38537.72</v>
      </c>
      <c r="Z229" s="364"/>
      <c r="AA229" s="364"/>
    </row>
    <row r="230" spans="2:27" x14ac:dyDescent="0.25">
      <c r="B230" s="364" t="s">
        <v>914</v>
      </c>
      <c r="C230" s="364" t="s">
        <v>346</v>
      </c>
      <c r="D230" s="364" t="s">
        <v>347</v>
      </c>
      <c r="E230" s="364" t="s">
        <v>1114</v>
      </c>
      <c r="F230" s="364">
        <v>1</v>
      </c>
      <c r="G230" s="364">
        <v>0</v>
      </c>
      <c r="H230" s="364">
        <v>0</v>
      </c>
      <c r="I230" s="364">
        <v>0</v>
      </c>
      <c r="J230" s="364">
        <v>0</v>
      </c>
      <c r="K230" s="364">
        <v>0</v>
      </c>
      <c r="L230" s="364">
        <v>0</v>
      </c>
      <c r="M230" s="364">
        <v>7</v>
      </c>
      <c r="N230" s="364">
        <v>35</v>
      </c>
      <c r="O230" s="364">
        <v>0</v>
      </c>
      <c r="P230" s="364">
        <v>0</v>
      </c>
      <c r="Q230" s="364">
        <v>0</v>
      </c>
      <c r="R230" s="364">
        <v>0</v>
      </c>
      <c r="S230" s="364">
        <v>0</v>
      </c>
      <c r="T230" s="364">
        <v>0</v>
      </c>
      <c r="U230" s="364">
        <v>0</v>
      </c>
      <c r="V230" s="364">
        <v>1</v>
      </c>
      <c r="W230" s="364">
        <v>35</v>
      </c>
      <c r="X230" s="364">
        <v>0</v>
      </c>
      <c r="Y230" s="364">
        <v>34821.54</v>
      </c>
      <c r="Z230" s="364"/>
      <c r="AA230" s="364"/>
    </row>
    <row r="231" spans="2:27" x14ac:dyDescent="0.25">
      <c r="B231" s="364" t="s">
        <v>914</v>
      </c>
      <c r="C231" s="364" t="s">
        <v>818</v>
      </c>
      <c r="D231" s="364" t="s">
        <v>819</v>
      </c>
      <c r="E231" s="364" t="s">
        <v>1115</v>
      </c>
      <c r="F231" s="364">
        <v>1</v>
      </c>
      <c r="G231" s="364">
        <v>0</v>
      </c>
      <c r="H231" s="364">
        <v>0</v>
      </c>
      <c r="I231" s="364">
        <v>0</v>
      </c>
      <c r="J231" s="364">
        <v>0</v>
      </c>
      <c r="K231" s="364">
        <v>0</v>
      </c>
      <c r="L231" s="364">
        <v>0</v>
      </c>
      <c r="M231" s="364">
        <v>7</v>
      </c>
      <c r="N231" s="364">
        <v>35</v>
      </c>
      <c r="O231" s="364">
        <v>0</v>
      </c>
      <c r="P231" s="364">
        <v>0</v>
      </c>
      <c r="Q231" s="364">
        <v>0</v>
      </c>
      <c r="R231" s="364">
        <v>0</v>
      </c>
      <c r="S231" s="364">
        <v>0</v>
      </c>
      <c r="T231" s="364">
        <v>0</v>
      </c>
      <c r="U231" s="364">
        <v>0</v>
      </c>
      <c r="V231" s="364">
        <v>1</v>
      </c>
      <c r="W231" s="364">
        <v>35</v>
      </c>
      <c r="X231" s="364">
        <v>0</v>
      </c>
      <c r="Y231" s="364">
        <v>33031.96</v>
      </c>
      <c r="Z231" s="364"/>
      <c r="AA231" s="364"/>
    </row>
    <row r="232" spans="2:27" x14ac:dyDescent="0.25">
      <c r="B232" s="364" t="s">
        <v>914</v>
      </c>
      <c r="C232" s="364" t="s">
        <v>384</v>
      </c>
      <c r="D232" s="364" t="s">
        <v>816</v>
      </c>
      <c r="E232" s="364" t="s">
        <v>1116</v>
      </c>
      <c r="F232" s="364">
        <v>1</v>
      </c>
      <c r="G232" s="364">
        <v>0</v>
      </c>
      <c r="H232" s="364">
        <v>0</v>
      </c>
      <c r="I232" s="364">
        <v>0</v>
      </c>
      <c r="J232" s="364">
        <v>0</v>
      </c>
      <c r="K232" s="364">
        <v>0</v>
      </c>
      <c r="L232" s="364">
        <v>0</v>
      </c>
      <c r="M232" s="364">
        <v>7</v>
      </c>
      <c r="N232" s="364">
        <v>35</v>
      </c>
      <c r="O232" s="364">
        <v>0</v>
      </c>
      <c r="P232" s="364">
        <v>0</v>
      </c>
      <c r="Q232" s="364">
        <v>0</v>
      </c>
      <c r="R232" s="364">
        <v>0</v>
      </c>
      <c r="S232" s="364">
        <v>0</v>
      </c>
      <c r="T232" s="364">
        <v>0</v>
      </c>
      <c r="U232" s="364">
        <v>0</v>
      </c>
      <c r="V232" s="364">
        <v>1</v>
      </c>
      <c r="W232" s="364">
        <v>35</v>
      </c>
      <c r="X232" s="364">
        <v>0</v>
      </c>
      <c r="Y232" s="364">
        <v>35038.6</v>
      </c>
      <c r="Z232" s="364"/>
      <c r="AA232" s="364"/>
    </row>
    <row r="233" spans="2:27" x14ac:dyDescent="0.25">
      <c r="B233" s="364" t="s">
        <v>914</v>
      </c>
      <c r="C233" s="364" t="s">
        <v>428</v>
      </c>
      <c r="D233" s="364" t="s">
        <v>429</v>
      </c>
      <c r="E233" s="364" t="s">
        <v>1117</v>
      </c>
      <c r="F233" s="364">
        <v>1</v>
      </c>
      <c r="G233" s="364">
        <v>0</v>
      </c>
      <c r="H233" s="364">
        <v>0</v>
      </c>
      <c r="I233" s="364">
        <v>0</v>
      </c>
      <c r="J233" s="364">
        <v>0</v>
      </c>
      <c r="K233" s="364">
        <v>0</v>
      </c>
      <c r="L233" s="364">
        <v>0</v>
      </c>
      <c r="M233" s="364">
        <v>7</v>
      </c>
      <c r="N233" s="364">
        <v>35</v>
      </c>
      <c r="O233" s="364">
        <v>0</v>
      </c>
      <c r="P233" s="364">
        <v>0</v>
      </c>
      <c r="Q233" s="364">
        <v>0</v>
      </c>
      <c r="R233" s="364">
        <v>0</v>
      </c>
      <c r="S233" s="364">
        <v>0</v>
      </c>
      <c r="T233" s="364">
        <v>0</v>
      </c>
      <c r="U233" s="364">
        <v>0</v>
      </c>
      <c r="V233" s="364">
        <v>1</v>
      </c>
      <c r="W233" s="364">
        <v>35</v>
      </c>
      <c r="X233" s="364">
        <v>0</v>
      </c>
      <c r="Y233" s="364">
        <v>37543.599999999999</v>
      </c>
      <c r="Z233" s="364"/>
      <c r="AA233" s="364"/>
    </row>
    <row r="234" spans="2:27" x14ac:dyDescent="0.25">
      <c r="B234" s="364" t="s">
        <v>914</v>
      </c>
      <c r="C234" s="364" t="s">
        <v>356</v>
      </c>
      <c r="D234" s="364" t="s">
        <v>357</v>
      </c>
      <c r="E234" s="364" t="s">
        <v>1118</v>
      </c>
      <c r="F234" s="364">
        <v>1</v>
      </c>
      <c r="G234" s="364">
        <v>0</v>
      </c>
      <c r="H234" s="364">
        <v>0</v>
      </c>
      <c r="I234" s="364">
        <v>0</v>
      </c>
      <c r="J234" s="364">
        <v>0</v>
      </c>
      <c r="K234" s="364">
        <v>0</v>
      </c>
      <c r="L234" s="364">
        <v>0</v>
      </c>
      <c r="M234" s="364">
        <v>7</v>
      </c>
      <c r="N234" s="364">
        <v>35</v>
      </c>
      <c r="O234" s="364">
        <v>0</v>
      </c>
      <c r="P234" s="364">
        <v>0</v>
      </c>
      <c r="Q234" s="364">
        <v>0</v>
      </c>
      <c r="R234" s="364">
        <v>0</v>
      </c>
      <c r="S234" s="364">
        <v>0</v>
      </c>
      <c r="T234" s="364">
        <v>0</v>
      </c>
      <c r="U234" s="364">
        <v>0</v>
      </c>
      <c r="V234" s="364">
        <v>1</v>
      </c>
      <c r="W234" s="364">
        <v>35</v>
      </c>
      <c r="X234" s="364">
        <v>0</v>
      </c>
      <c r="Y234" s="364">
        <v>35038.6</v>
      </c>
      <c r="Z234" s="364"/>
      <c r="AA234" s="364"/>
    </row>
    <row r="235" spans="2:27" x14ac:dyDescent="0.25">
      <c r="B235" s="364" t="s">
        <v>914</v>
      </c>
      <c r="C235" s="364" t="s">
        <v>426</v>
      </c>
      <c r="D235" s="364" t="s">
        <v>427</v>
      </c>
      <c r="E235" s="364" t="s">
        <v>1119</v>
      </c>
      <c r="F235" s="364">
        <v>1</v>
      </c>
      <c r="G235" s="364">
        <v>0</v>
      </c>
      <c r="H235" s="364">
        <v>0</v>
      </c>
      <c r="I235" s="364">
        <v>0</v>
      </c>
      <c r="J235" s="364">
        <v>0</v>
      </c>
      <c r="K235" s="364">
        <v>0</v>
      </c>
      <c r="L235" s="364">
        <v>0</v>
      </c>
      <c r="M235" s="364">
        <v>7</v>
      </c>
      <c r="N235" s="364">
        <v>35</v>
      </c>
      <c r="O235" s="364">
        <v>0</v>
      </c>
      <c r="P235" s="364">
        <v>0</v>
      </c>
      <c r="Q235" s="364">
        <v>0</v>
      </c>
      <c r="R235" s="364">
        <v>0</v>
      </c>
      <c r="S235" s="364">
        <v>0</v>
      </c>
      <c r="T235" s="364">
        <v>0</v>
      </c>
      <c r="U235" s="364">
        <v>0</v>
      </c>
      <c r="V235" s="364">
        <v>1</v>
      </c>
      <c r="W235" s="364">
        <v>35</v>
      </c>
      <c r="X235" s="364">
        <v>0</v>
      </c>
      <c r="Y235" s="364">
        <v>37543.599999999999</v>
      </c>
      <c r="Z235" s="364"/>
      <c r="AA235" s="364"/>
    </row>
    <row r="236" spans="2:27" x14ac:dyDescent="0.25">
      <c r="B236" s="364" t="s">
        <v>914</v>
      </c>
      <c r="C236" s="364" t="s">
        <v>340</v>
      </c>
      <c r="D236" s="364" t="s">
        <v>341</v>
      </c>
      <c r="E236" s="364" t="s">
        <v>1120</v>
      </c>
      <c r="F236" s="364">
        <v>1</v>
      </c>
      <c r="G236" s="364">
        <v>0</v>
      </c>
      <c r="H236" s="364">
        <v>0</v>
      </c>
      <c r="I236" s="364">
        <v>0</v>
      </c>
      <c r="J236" s="364">
        <v>0</v>
      </c>
      <c r="K236" s="364">
        <v>0</v>
      </c>
      <c r="L236" s="364">
        <v>0</v>
      </c>
      <c r="M236" s="364">
        <v>7</v>
      </c>
      <c r="N236" s="364">
        <v>35</v>
      </c>
      <c r="O236" s="364">
        <v>0</v>
      </c>
      <c r="P236" s="364">
        <v>0</v>
      </c>
      <c r="Q236" s="364">
        <v>0</v>
      </c>
      <c r="R236" s="364">
        <v>0</v>
      </c>
      <c r="S236" s="364">
        <v>0</v>
      </c>
      <c r="T236" s="364">
        <v>0</v>
      </c>
      <c r="U236" s="364">
        <v>0</v>
      </c>
      <c r="V236" s="364">
        <v>1</v>
      </c>
      <c r="W236" s="364">
        <v>35</v>
      </c>
      <c r="X236" s="364">
        <v>0</v>
      </c>
      <c r="Y236" s="364">
        <v>32357.84</v>
      </c>
      <c r="Z236" s="364"/>
      <c r="AA236" s="364"/>
    </row>
    <row r="237" spans="2:27" x14ac:dyDescent="0.25">
      <c r="B237" s="364" t="s">
        <v>914</v>
      </c>
      <c r="C237" s="364" t="s">
        <v>380</v>
      </c>
      <c r="D237" s="364" t="s">
        <v>381</v>
      </c>
      <c r="E237" s="364" t="s">
        <v>1121</v>
      </c>
      <c r="F237" s="364">
        <v>1</v>
      </c>
      <c r="G237" s="364">
        <v>0</v>
      </c>
      <c r="H237" s="364">
        <v>0</v>
      </c>
      <c r="I237" s="364">
        <v>0</v>
      </c>
      <c r="J237" s="364">
        <v>0</v>
      </c>
      <c r="K237" s="364">
        <v>0</v>
      </c>
      <c r="L237" s="364">
        <v>0</v>
      </c>
      <c r="M237" s="364">
        <v>7</v>
      </c>
      <c r="N237" s="364">
        <v>35</v>
      </c>
      <c r="O237" s="364">
        <v>0</v>
      </c>
      <c r="P237" s="364">
        <v>0</v>
      </c>
      <c r="Q237" s="364">
        <v>0</v>
      </c>
      <c r="R237" s="364">
        <v>0</v>
      </c>
      <c r="S237" s="364">
        <v>0</v>
      </c>
      <c r="T237" s="364">
        <v>0</v>
      </c>
      <c r="U237" s="364">
        <v>0</v>
      </c>
      <c r="V237" s="364">
        <v>1</v>
      </c>
      <c r="W237" s="364">
        <v>35</v>
      </c>
      <c r="X237" s="364">
        <v>0</v>
      </c>
      <c r="Y237" s="364">
        <v>32140.78</v>
      </c>
      <c r="Z237" s="364"/>
      <c r="AA237" s="364"/>
    </row>
    <row r="238" spans="2:27" x14ac:dyDescent="0.25">
      <c r="B238" s="364" t="s">
        <v>914</v>
      </c>
      <c r="C238" s="364" t="s">
        <v>1122</v>
      </c>
      <c r="D238" s="364" t="s">
        <v>812</v>
      </c>
      <c r="E238" s="364" t="s">
        <v>1123</v>
      </c>
      <c r="F238" s="364">
        <v>1</v>
      </c>
      <c r="G238" s="364">
        <v>0</v>
      </c>
      <c r="H238" s="364">
        <v>0</v>
      </c>
      <c r="I238" s="364">
        <v>0</v>
      </c>
      <c r="J238" s="364">
        <v>0</v>
      </c>
      <c r="K238" s="364">
        <v>0</v>
      </c>
      <c r="L238" s="364">
        <v>0</v>
      </c>
      <c r="M238" s="364">
        <v>7</v>
      </c>
      <c r="N238" s="364">
        <v>35</v>
      </c>
      <c r="O238" s="364">
        <v>0</v>
      </c>
      <c r="P238" s="364">
        <v>0</v>
      </c>
      <c r="Q238" s="364">
        <v>0</v>
      </c>
      <c r="R238" s="364">
        <v>0</v>
      </c>
      <c r="S238" s="364">
        <v>0</v>
      </c>
      <c r="T238" s="364">
        <v>0</v>
      </c>
      <c r="U238" s="364">
        <v>0</v>
      </c>
      <c r="V238" s="364">
        <v>1</v>
      </c>
      <c r="W238" s="364">
        <v>35</v>
      </c>
      <c r="X238" s="364">
        <v>0</v>
      </c>
      <c r="Y238" s="364">
        <v>32791.96</v>
      </c>
      <c r="Z238" s="364"/>
      <c r="AA238" s="364"/>
    </row>
    <row r="239" spans="2:27" x14ac:dyDescent="0.25">
      <c r="B239" s="364" t="s">
        <v>914</v>
      </c>
      <c r="C239" s="364" t="s">
        <v>834</v>
      </c>
      <c r="D239" s="364" t="s">
        <v>835</v>
      </c>
      <c r="E239" s="364" t="s">
        <v>1124</v>
      </c>
      <c r="F239" s="364">
        <v>1</v>
      </c>
      <c r="G239" s="364">
        <v>0</v>
      </c>
      <c r="H239" s="364">
        <v>0</v>
      </c>
      <c r="I239" s="364">
        <v>0</v>
      </c>
      <c r="J239" s="364">
        <v>0</v>
      </c>
      <c r="K239" s="364">
        <v>0</v>
      </c>
      <c r="L239" s="364">
        <v>0</v>
      </c>
      <c r="M239" s="364">
        <v>7</v>
      </c>
      <c r="N239" s="364">
        <v>35</v>
      </c>
      <c r="O239" s="364">
        <v>0</v>
      </c>
      <c r="P239" s="364">
        <v>0</v>
      </c>
      <c r="Q239" s="364">
        <v>0</v>
      </c>
      <c r="R239" s="364">
        <v>0</v>
      </c>
      <c r="S239" s="364">
        <v>0</v>
      </c>
      <c r="T239" s="364">
        <v>0</v>
      </c>
      <c r="U239" s="364">
        <v>0</v>
      </c>
      <c r="V239" s="364">
        <v>1</v>
      </c>
      <c r="W239" s="364">
        <v>35</v>
      </c>
      <c r="X239" s="364">
        <v>0</v>
      </c>
      <c r="Y239" s="364">
        <v>38537.72</v>
      </c>
      <c r="Z239" s="364"/>
      <c r="AA239" s="364"/>
    </row>
    <row r="240" spans="2:27" x14ac:dyDescent="0.25">
      <c r="B240" s="364" t="s">
        <v>914</v>
      </c>
      <c r="C240" s="364" t="s">
        <v>813</v>
      </c>
      <c r="D240" s="364" t="s">
        <v>814</v>
      </c>
      <c r="E240" s="364" t="s">
        <v>1125</v>
      </c>
      <c r="F240" s="364">
        <v>1</v>
      </c>
      <c r="G240" s="364">
        <v>0</v>
      </c>
      <c r="H240" s="364">
        <v>0</v>
      </c>
      <c r="I240" s="364">
        <v>0</v>
      </c>
      <c r="J240" s="364">
        <v>0</v>
      </c>
      <c r="K240" s="364">
        <v>0</v>
      </c>
      <c r="L240" s="364">
        <v>0</v>
      </c>
      <c r="M240" s="364">
        <v>7</v>
      </c>
      <c r="N240" s="364">
        <v>35</v>
      </c>
      <c r="O240" s="364">
        <v>0</v>
      </c>
      <c r="P240" s="364">
        <v>0</v>
      </c>
      <c r="Q240" s="364">
        <v>0</v>
      </c>
      <c r="R240" s="364">
        <v>0</v>
      </c>
      <c r="S240" s="364">
        <v>0</v>
      </c>
      <c r="T240" s="364">
        <v>0</v>
      </c>
      <c r="U240" s="364">
        <v>0</v>
      </c>
      <c r="V240" s="364">
        <v>1</v>
      </c>
      <c r="W240" s="364">
        <v>35</v>
      </c>
      <c r="X240" s="364">
        <v>0</v>
      </c>
      <c r="Y240" s="364">
        <v>32791.96</v>
      </c>
      <c r="Z240" s="364"/>
      <c r="AA240" s="364"/>
    </row>
    <row r="241" spans="2:27" x14ac:dyDescent="0.25">
      <c r="B241" s="364" t="s">
        <v>914</v>
      </c>
      <c r="C241" s="364" t="s">
        <v>800</v>
      </c>
      <c r="D241" s="364" t="s">
        <v>801</v>
      </c>
      <c r="E241" s="364" t="s">
        <v>1126</v>
      </c>
      <c r="F241" s="364">
        <v>1</v>
      </c>
      <c r="G241" s="364">
        <v>0</v>
      </c>
      <c r="H241" s="364">
        <v>0</v>
      </c>
      <c r="I241" s="364">
        <v>0</v>
      </c>
      <c r="J241" s="364">
        <v>0</v>
      </c>
      <c r="K241" s="364">
        <v>0</v>
      </c>
      <c r="L241" s="364">
        <v>0</v>
      </c>
      <c r="M241" s="364">
        <v>7</v>
      </c>
      <c r="N241" s="364">
        <v>35</v>
      </c>
      <c r="O241" s="364">
        <v>0</v>
      </c>
      <c r="P241" s="364">
        <v>0</v>
      </c>
      <c r="Q241" s="364">
        <v>0</v>
      </c>
      <c r="R241" s="364">
        <v>0</v>
      </c>
      <c r="S241" s="364">
        <v>0</v>
      </c>
      <c r="T241" s="364">
        <v>0</v>
      </c>
      <c r="U241" s="364">
        <v>0</v>
      </c>
      <c r="V241" s="364">
        <v>1</v>
      </c>
      <c r="W241" s="364">
        <v>35</v>
      </c>
      <c r="X241" s="364">
        <v>0</v>
      </c>
      <c r="Y241" s="364">
        <v>34387.42</v>
      </c>
      <c r="Z241" s="364"/>
      <c r="AA241" s="364"/>
    </row>
    <row r="242" spans="2:27" x14ac:dyDescent="0.25">
      <c r="B242" s="364" t="s">
        <v>914</v>
      </c>
      <c r="C242" s="364" t="s">
        <v>1127</v>
      </c>
      <c r="D242" s="364" t="s">
        <v>815</v>
      </c>
      <c r="E242" s="364" t="s">
        <v>1128</v>
      </c>
      <c r="F242" s="364">
        <v>1</v>
      </c>
      <c r="G242" s="364">
        <v>0</v>
      </c>
      <c r="H242" s="364">
        <v>0</v>
      </c>
      <c r="I242" s="364">
        <v>0</v>
      </c>
      <c r="J242" s="364">
        <v>0</v>
      </c>
      <c r="K242" s="364">
        <v>0</v>
      </c>
      <c r="L242" s="364">
        <v>0</v>
      </c>
      <c r="M242" s="364">
        <v>7</v>
      </c>
      <c r="N242" s="364">
        <v>35</v>
      </c>
      <c r="O242" s="364">
        <v>0</v>
      </c>
      <c r="P242" s="364">
        <v>0</v>
      </c>
      <c r="Q242" s="364">
        <v>0</v>
      </c>
      <c r="R242" s="364">
        <v>0</v>
      </c>
      <c r="S242" s="364">
        <v>0</v>
      </c>
      <c r="T242" s="364">
        <v>0</v>
      </c>
      <c r="U242" s="364">
        <v>0</v>
      </c>
      <c r="V242" s="364">
        <v>1</v>
      </c>
      <c r="W242" s="364">
        <v>35</v>
      </c>
      <c r="X242" s="364">
        <v>0</v>
      </c>
      <c r="Y242" s="364">
        <v>32991.96</v>
      </c>
      <c r="Z242" s="364"/>
      <c r="AA242" s="364"/>
    </row>
    <row r="243" spans="2:27" x14ac:dyDescent="0.25">
      <c r="B243" s="364" t="s">
        <v>914</v>
      </c>
      <c r="C243" s="364" t="s">
        <v>804</v>
      </c>
      <c r="D243" s="364" t="s">
        <v>805</v>
      </c>
      <c r="E243" s="364" t="s">
        <v>1129</v>
      </c>
      <c r="F243" s="364">
        <v>1</v>
      </c>
      <c r="G243" s="364">
        <v>0</v>
      </c>
      <c r="H243" s="364">
        <v>0</v>
      </c>
      <c r="I243" s="364">
        <v>0</v>
      </c>
      <c r="J243" s="364">
        <v>0</v>
      </c>
      <c r="K243" s="364">
        <v>0</v>
      </c>
      <c r="L243" s="364">
        <v>0</v>
      </c>
      <c r="M243" s="364">
        <v>7</v>
      </c>
      <c r="N243" s="364">
        <v>35</v>
      </c>
      <c r="O243" s="364">
        <v>0</v>
      </c>
      <c r="P243" s="364">
        <v>0</v>
      </c>
      <c r="Q243" s="364">
        <v>0</v>
      </c>
      <c r="R243" s="364">
        <v>0</v>
      </c>
      <c r="S243" s="364">
        <v>0</v>
      </c>
      <c r="T243" s="364">
        <v>0</v>
      </c>
      <c r="U243" s="364">
        <v>0</v>
      </c>
      <c r="V243" s="364">
        <v>1</v>
      </c>
      <c r="W243" s="364">
        <v>35</v>
      </c>
      <c r="X243" s="364">
        <v>0</v>
      </c>
      <c r="Y243" s="364">
        <v>35038.589999999997</v>
      </c>
      <c r="Z243" s="364"/>
      <c r="AA243" s="364"/>
    </row>
    <row r="244" spans="2:27" x14ac:dyDescent="0.25">
      <c r="B244" s="364" t="s">
        <v>914</v>
      </c>
      <c r="C244" s="364" t="s">
        <v>830</v>
      </c>
      <c r="D244" s="364" t="s">
        <v>831</v>
      </c>
      <c r="E244" s="364" t="s">
        <v>1130</v>
      </c>
      <c r="F244" s="364">
        <v>1</v>
      </c>
      <c r="G244" s="364">
        <v>0</v>
      </c>
      <c r="H244" s="364">
        <v>0</v>
      </c>
      <c r="I244" s="364">
        <v>0</v>
      </c>
      <c r="J244" s="364">
        <v>0</v>
      </c>
      <c r="K244" s="364">
        <v>0</v>
      </c>
      <c r="L244" s="364">
        <v>0</v>
      </c>
      <c r="M244" s="364">
        <v>7</v>
      </c>
      <c r="N244" s="364">
        <v>35</v>
      </c>
      <c r="O244" s="364">
        <v>0</v>
      </c>
      <c r="P244" s="364">
        <v>0</v>
      </c>
      <c r="Q244" s="364">
        <v>0</v>
      </c>
      <c r="R244" s="364">
        <v>0</v>
      </c>
      <c r="S244" s="364">
        <v>0</v>
      </c>
      <c r="T244" s="364">
        <v>0</v>
      </c>
      <c r="U244" s="364">
        <v>0</v>
      </c>
      <c r="V244" s="364">
        <v>1</v>
      </c>
      <c r="W244" s="364">
        <v>35</v>
      </c>
      <c r="X244" s="364">
        <v>0</v>
      </c>
      <c r="Y244" s="364">
        <v>34225.67</v>
      </c>
      <c r="Z244" s="364"/>
      <c r="AA244" s="364"/>
    </row>
    <row r="245" spans="2:27" x14ac:dyDescent="0.25">
      <c r="B245" s="364" t="s">
        <v>914</v>
      </c>
      <c r="C245" s="364" t="s">
        <v>838</v>
      </c>
      <c r="D245" s="364" t="s">
        <v>839</v>
      </c>
      <c r="E245" s="364" t="s">
        <v>1131</v>
      </c>
      <c r="F245" s="364">
        <v>1</v>
      </c>
      <c r="G245" s="364">
        <v>0</v>
      </c>
      <c r="H245" s="364">
        <v>0</v>
      </c>
      <c r="I245" s="364">
        <v>0</v>
      </c>
      <c r="J245" s="364">
        <v>0</v>
      </c>
      <c r="K245" s="364">
        <v>0</v>
      </c>
      <c r="L245" s="364">
        <v>0</v>
      </c>
      <c r="M245" s="364">
        <v>7</v>
      </c>
      <c r="N245" s="364">
        <v>35</v>
      </c>
      <c r="O245" s="364">
        <v>0</v>
      </c>
      <c r="P245" s="364">
        <v>0</v>
      </c>
      <c r="Q245" s="364">
        <v>0</v>
      </c>
      <c r="R245" s="364">
        <v>0</v>
      </c>
      <c r="S245" s="364">
        <v>0</v>
      </c>
      <c r="T245" s="364">
        <v>0</v>
      </c>
      <c r="U245" s="364">
        <v>0</v>
      </c>
      <c r="V245" s="364">
        <v>1</v>
      </c>
      <c r="W245" s="364">
        <v>35</v>
      </c>
      <c r="X245" s="364">
        <v>0</v>
      </c>
      <c r="Y245" s="364">
        <v>35687.42</v>
      </c>
      <c r="Z245" s="364"/>
      <c r="AA245" s="364"/>
    </row>
    <row r="246" spans="2:27" x14ac:dyDescent="0.25">
      <c r="B246" s="364" t="s">
        <v>914</v>
      </c>
      <c r="C246" s="364" t="s">
        <v>824</v>
      </c>
      <c r="D246" s="364" t="s">
        <v>825</v>
      </c>
      <c r="E246" s="364" t="s">
        <v>1132</v>
      </c>
      <c r="F246" s="364">
        <v>1</v>
      </c>
      <c r="G246" s="364">
        <v>0</v>
      </c>
      <c r="H246" s="364">
        <v>0</v>
      </c>
      <c r="I246" s="364">
        <v>0</v>
      </c>
      <c r="J246" s="364">
        <v>0</v>
      </c>
      <c r="K246" s="364">
        <v>0</v>
      </c>
      <c r="L246" s="364">
        <v>0</v>
      </c>
      <c r="M246" s="364">
        <v>7</v>
      </c>
      <c r="N246" s="364">
        <v>35</v>
      </c>
      <c r="O246" s="364">
        <v>0</v>
      </c>
      <c r="P246" s="364">
        <v>0</v>
      </c>
      <c r="Q246" s="364">
        <v>0</v>
      </c>
      <c r="R246" s="364">
        <v>0</v>
      </c>
      <c r="S246" s="364">
        <v>0</v>
      </c>
      <c r="T246" s="364">
        <v>0</v>
      </c>
      <c r="U246" s="364">
        <v>0</v>
      </c>
      <c r="V246" s="364">
        <v>1</v>
      </c>
      <c r="W246" s="364">
        <v>35</v>
      </c>
      <c r="X246" s="364">
        <v>0</v>
      </c>
      <c r="Y246" s="364">
        <v>34844.480000000003</v>
      </c>
      <c r="Z246" s="364"/>
      <c r="AA246" s="364"/>
    </row>
    <row r="247" spans="2:27" x14ac:dyDescent="0.25">
      <c r="B247" s="364" t="s">
        <v>914</v>
      </c>
      <c r="C247" s="364" t="s">
        <v>842</v>
      </c>
      <c r="D247" s="364" t="s">
        <v>843</v>
      </c>
      <c r="E247" s="364" t="s">
        <v>1133</v>
      </c>
      <c r="F247" s="364">
        <v>1</v>
      </c>
      <c r="G247" s="364">
        <v>0</v>
      </c>
      <c r="H247" s="364">
        <v>0</v>
      </c>
      <c r="I247" s="364">
        <v>0</v>
      </c>
      <c r="J247" s="364">
        <v>0</v>
      </c>
      <c r="K247" s="364">
        <v>0</v>
      </c>
      <c r="L247" s="364">
        <v>0</v>
      </c>
      <c r="M247" s="364">
        <v>7</v>
      </c>
      <c r="N247" s="364">
        <v>35</v>
      </c>
      <c r="O247" s="364">
        <v>0</v>
      </c>
      <c r="P247" s="364">
        <v>0</v>
      </c>
      <c r="Q247" s="364">
        <v>0</v>
      </c>
      <c r="R247" s="364">
        <v>0</v>
      </c>
      <c r="S247" s="364">
        <v>0</v>
      </c>
      <c r="T247" s="364">
        <v>0</v>
      </c>
      <c r="U247" s="364">
        <v>0</v>
      </c>
      <c r="V247" s="364">
        <v>1</v>
      </c>
      <c r="W247" s="364">
        <v>35</v>
      </c>
      <c r="X247" s="364">
        <v>0</v>
      </c>
      <c r="Y247" s="364">
        <v>37756.92</v>
      </c>
      <c r="Z247" s="364"/>
      <c r="AA247" s="364"/>
    </row>
    <row r="248" spans="2:27" x14ac:dyDescent="0.25">
      <c r="B248" s="364" t="s">
        <v>914</v>
      </c>
      <c r="C248" s="364" t="s">
        <v>844</v>
      </c>
      <c r="D248" s="364" t="s">
        <v>845</v>
      </c>
      <c r="E248" s="364" t="s">
        <v>1134</v>
      </c>
      <c r="F248" s="364">
        <v>1</v>
      </c>
      <c r="G248" s="364">
        <v>0</v>
      </c>
      <c r="H248" s="364">
        <v>0</v>
      </c>
      <c r="I248" s="364">
        <v>0</v>
      </c>
      <c r="J248" s="364">
        <v>0</v>
      </c>
      <c r="K248" s="364">
        <v>0</v>
      </c>
      <c r="L248" s="364">
        <v>0</v>
      </c>
      <c r="M248" s="364">
        <v>7</v>
      </c>
      <c r="N248" s="364">
        <v>35</v>
      </c>
      <c r="O248" s="364">
        <v>0</v>
      </c>
      <c r="P248" s="364">
        <v>0</v>
      </c>
      <c r="Q248" s="364">
        <v>0</v>
      </c>
      <c r="R248" s="364">
        <v>0</v>
      </c>
      <c r="S248" s="364">
        <v>0</v>
      </c>
      <c r="T248" s="364">
        <v>0</v>
      </c>
      <c r="U248" s="364">
        <v>0</v>
      </c>
      <c r="V248" s="364">
        <v>1</v>
      </c>
      <c r="W248" s="364">
        <v>35</v>
      </c>
      <c r="X248" s="364">
        <v>0</v>
      </c>
      <c r="Y248" s="364">
        <v>51389.1</v>
      </c>
      <c r="Z248" s="364"/>
      <c r="AA248" s="364"/>
    </row>
    <row r="249" spans="2:27" x14ac:dyDescent="0.25">
      <c r="B249" s="364" t="s">
        <v>914</v>
      </c>
      <c r="C249" s="364" t="s">
        <v>820</v>
      </c>
      <c r="D249" s="364" t="s">
        <v>821</v>
      </c>
      <c r="E249" s="364" t="s">
        <v>1135</v>
      </c>
      <c r="F249" s="364">
        <v>1</v>
      </c>
      <c r="G249" s="364">
        <v>0</v>
      </c>
      <c r="H249" s="364">
        <v>0</v>
      </c>
      <c r="I249" s="364">
        <v>0</v>
      </c>
      <c r="J249" s="364">
        <v>0</v>
      </c>
      <c r="K249" s="364">
        <v>0</v>
      </c>
      <c r="L249" s="364">
        <v>0</v>
      </c>
      <c r="M249" s="364">
        <v>7</v>
      </c>
      <c r="N249" s="364">
        <v>35</v>
      </c>
      <c r="O249" s="364">
        <v>0</v>
      </c>
      <c r="P249" s="364">
        <v>0</v>
      </c>
      <c r="Q249" s="364">
        <v>0</v>
      </c>
      <c r="R249" s="364">
        <v>0</v>
      </c>
      <c r="S249" s="364">
        <v>0</v>
      </c>
      <c r="T249" s="364">
        <v>0</v>
      </c>
      <c r="U249" s="364">
        <v>0</v>
      </c>
      <c r="V249" s="364">
        <v>1</v>
      </c>
      <c r="W249" s="364">
        <v>35</v>
      </c>
      <c r="X249" s="364">
        <v>0</v>
      </c>
      <c r="Y249" s="364">
        <v>35038.6</v>
      </c>
      <c r="Z249" s="364"/>
      <c r="AA249" s="364"/>
    </row>
    <row r="250" spans="2:27" x14ac:dyDescent="0.25">
      <c r="B250" s="364" t="s">
        <v>914</v>
      </c>
      <c r="C250" s="364" t="s">
        <v>798</v>
      </c>
      <c r="D250" s="364" t="s">
        <v>799</v>
      </c>
      <c r="E250" s="364" t="s">
        <v>1136</v>
      </c>
      <c r="F250" s="364">
        <v>1</v>
      </c>
      <c r="G250" s="364">
        <v>0</v>
      </c>
      <c r="H250" s="364">
        <v>0</v>
      </c>
      <c r="I250" s="364">
        <v>0</v>
      </c>
      <c r="J250" s="364">
        <v>0</v>
      </c>
      <c r="K250" s="364">
        <v>0</v>
      </c>
      <c r="L250" s="364">
        <v>0</v>
      </c>
      <c r="M250" s="364">
        <v>7</v>
      </c>
      <c r="N250" s="364">
        <v>35</v>
      </c>
      <c r="O250" s="364">
        <v>0</v>
      </c>
      <c r="P250" s="364">
        <v>0</v>
      </c>
      <c r="Q250" s="364">
        <v>0</v>
      </c>
      <c r="R250" s="364">
        <v>0</v>
      </c>
      <c r="S250" s="364">
        <v>0</v>
      </c>
      <c r="T250" s="364">
        <v>0</v>
      </c>
      <c r="U250" s="364">
        <v>0</v>
      </c>
      <c r="V250" s="364">
        <v>1</v>
      </c>
      <c r="W250" s="364">
        <v>35</v>
      </c>
      <c r="X250" s="364">
        <v>0</v>
      </c>
      <c r="Y250" s="364">
        <v>32140.78</v>
      </c>
      <c r="Z250" s="364"/>
      <c r="AA250" s="364"/>
    </row>
    <row r="251" spans="2:27" x14ac:dyDescent="0.25">
      <c r="B251" s="364" t="s">
        <v>914</v>
      </c>
      <c r="C251" s="364" t="s">
        <v>808</v>
      </c>
      <c r="D251" s="364" t="s">
        <v>809</v>
      </c>
      <c r="E251" s="364" t="s">
        <v>1137</v>
      </c>
      <c r="F251" s="364">
        <v>1</v>
      </c>
      <c r="G251" s="364">
        <v>0</v>
      </c>
      <c r="H251" s="364">
        <v>0</v>
      </c>
      <c r="I251" s="364">
        <v>0</v>
      </c>
      <c r="J251" s="364">
        <v>0</v>
      </c>
      <c r="K251" s="364">
        <v>0</v>
      </c>
      <c r="L251" s="364">
        <v>0</v>
      </c>
      <c r="M251" s="364">
        <v>7</v>
      </c>
      <c r="N251" s="364">
        <v>35</v>
      </c>
      <c r="O251" s="364">
        <v>0</v>
      </c>
      <c r="P251" s="364">
        <v>0</v>
      </c>
      <c r="Q251" s="364">
        <v>0</v>
      </c>
      <c r="R251" s="364">
        <v>0</v>
      </c>
      <c r="S251" s="364">
        <v>0</v>
      </c>
      <c r="T251" s="364">
        <v>0</v>
      </c>
      <c r="U251" s="364">
        <v>0</v>
      </c>
      <c r="V251" s="364">
        <v>1</v>
      </c>
      <c r="W251" s="364">
        <v>35</v>
      </c>
      <c r="X251" s="364">
        <v>0</v>
      </c>
      <c r="Y251" s="364">
        <v>35238.6</v>
      </c>
      <c r="Z251" s="364"/>
      <c r="AA251" s="364"/>
    </row>
    <row r="252" spans="2:27" x14ac:dyDescent="0.25">
      <c r="B252" s="364" t="s">
        <v>914</v>
      </c>
      <c r="C252" s="364" t="s">
        <v>806</v>
      </c>
      <c r="D252" s="364" t="s">
        <v>807</v>
      </c>
      <c r="E252" s="364" t="s">
        <v>1138</v>
      </c>
      <c r="F252" s="364">
        <v>1</v>
      </c>
      <c r="G252" s="364">
        <v>0</v>
      </c>
      <c r="H252" s="364">
        <v>0</v>
      </c>
      <c r="I252" s="364">
        <v>0</v>
      </c>
      <c r="J252" s="364">
        <v>0</v>
      </c>
      <c r="K252" s="364">
        <v>0</v>
      </c>
      <c r="L252" s="364">
        <v>0</v>
      </c>
      <c r="M252" s="364">
        <v>7</v>
      </c>
      <c r="N252" s="364">
        <v>35</v>
      </c>
      <c r="O252" s="364">
        <v>0</v>
      </c>
      <c r="P252" s="364">
        <v>0</v>
      </c>
      <c r="Q252" s="364">
        <v>0</v>
      </c>
      <c r="R252" s="364">
        <v>0</v>
      </c>
      <c r="S252" s="364">
        <v>0</v>
      </c>
      <c r="T252" s="364">
        <v>0</v>
      </c>
      <c r="U252" s="364">
        <v>0</v>
      </c>
      <c r="V252" s="364">
        <v>1</v>
      </c>
      <c r="W252" s="364">
        <v>35</v>
      </c>
      <c r="X252" s="364">
        <v>0</v>
      </c>
      <c r="Y252" s="364">
        <v>37783.599999999999</v>
      </c>
      <c r="Z252" s="364"/>
      <c r="AA252" s="364"/>
    </row>
    <row r="253" spans="2:27" x14ac:dyDescent="0.25">
      <c r="B253" s="364" t="s">
        <v>914</v>
      </c>
      <c r="C253" s="364" t="s">
        <v>836</v>
      </c>
      <c r="D253" s="364" t="s">
        <v>837</v>
      </c>
      <c r="E253" s="364" t="s">
        <v>1139</v>
      </c>
      <c r="F253" s="364">
        <v>1</v>
      </c>
      <c r="G253" s="364">
        <v>0</v>
      </c>
      <c r="H253" s="364">
        <v>0</v>
      </c>
      <c r="I253" s="364">
        <v>0</v>
      </c>
      <c r="J253" s="364">
        <v>0</v>
      </c>
      <c r="K253" s="364">
        <v>0</v>
      </c>
      <c r="L253" s="364">
        <v>0</v>
      </c>
      <c r="M253" s="364">
        <v>7</v>
      </c>
      <c r="N253" s="364">
        <v>35</v>
      </c>
      <c r="O253" s="364">
        <v>0</v>
      </c>
      <c r="P253" s="364">
        <v>0</v>
      </c>
      <c r="Q253" s="364">
        <v>0</v>
      </c>
      <c r="R253" s="364">
        <v>0</v>
      </c>
      <c r="S253" s="364">
        <v>0</v>
      </c>
      <c r="T253" s="364">
        <v>0</v>
      </c>
      <c r="U253" s="364">
        <v>0</v>
      </c>
      <c r="V253" s="364">
        <v>1</v>
      </c>
      <c r="W253" s="364">
        <v>35</v>
      </c>
      <c r="X253" s="364">
        <v>0</v>
      </c>
      <c r="Y253" s="364">
        <v>38537.72</v>
      </c>
      <c r="Z253" s="364"/>
      <c r="AA253" s="364"/>
    </row>
    <row r="254" spans="2:27" x14ac:dyDescent="0.25">
      <c r="B254" s="364" t="s">
        <v>914</v>
      </c>
      <c r="C254" s="364" t="s">
        <v>828</v>
      </c>
      <c r="D254" s="364" t="s">
        <v>829</v>
      </c>
      <c r="E254" s="364" t="s">
        <v>1140</v>
      </c>
      <c r="F254" s="364">
        <v>1</v>
      </c>
      <c r="G254" s="364">
        <v>0</v>
      </c>
      <c r="H254" s="364">
        <v>0</v>
      </c>
      <c r="I254" s="364">
        <v>0</v>
      </c>
      <c r="J254" s="364">
        <v>0</v>
      </c>
      <c r="K254" s="364">
        <v>0</v>
      </c>
      <c r="L254" s="364">
        <v>0</v>
      </c>
      <c r="M254" s="364">
        <v>7</v>
      </c>
      <c r="N254" s="364">
        <v>35</v>
      </c>
      <c r="O254" s="364">
        <v>0</v>
      </c>
      <c r="P254" s="364">
        <v>0</v>
      </c>
      <c r="Q254" s="364">
        <v>0</v>
      </c>
      <c r="R254" s="364">
        <v>0</v>
      </c>
      <c r="S254" s="364">
        <v>0</v>
      </c>
      <c r="T254" s="364">
        <v>0</v>
      </c>
      <c r="U254" s="364">
        <v>0</v>
      </c>
      <c r="V254" s="364">
        <v>1</v>
      </c>
      <c r="W254" s="364">
        <v>35</v>
      </c>
      <c r="X254" s="364">
        <v>0</v>
      </c>
      <c r="Y254" s="364">
        <v>36893.01</v>
      </c>
      <c r="Z254" s="364"/>
      <c r="AA254" s="364"/>
    </row>
    <row r="255" spans="2:27" x14ac:dyDescent="0.25">
      <c r="B255" s="364" t="s">
        <v>914</v>
      </c>
      <c r="C255" s="364" t="s">
        <v>826</v>
      </c>
      <c r="D255" s="364" t="s">
        <v>827</v>
      </c>
      <c r="E255" s="364" t="s">
        <v>1141</v>
      </c>
      <c r="F255" s="364">
        <v>1</v>
      </c>
      <c r="G255" s="364">
        <v>0</v>
      </c>
      <c r="H255" s="364">
        <v>0</v>
      </c>
      <c r="I255" s="364">
        <v>0</v>
      </c>
      <c r="J255" s="364">
        <v>0</v>
      </c>
      <c r="K255" s="364">
        <v>0</v>
      </c>
      <c r="L255" s="364">
        <v>0</v>
      </c>
      <c r="M255" s="364">
        <v>7</v>
      </c>
      <c r="N255" s="364">
        <v>35</v>
      </c>
      <c r="O255" s="364">
        <v>0</v>
      </c>
      <c r="P255" s="364">
        <v>0</v>
      </c>
      <c r="Q255" s="364">
        <v>0</v>
      </c>
      <c r="R255" s="364">
        <v>0</v>
      </c>
      <c r="S255" s="364">
        <v>0</v>
      </c>
      <c r="T255" s="364">
        <v>0</v>
      </c>
      <c r="U255" s="364">
        <v>0</v>
      </c>
      <c r="V255" s="364">
        <v>1</v>
      </c>
      <c r="W255" s="364">
        <v>35</v>
      </c>
      <c r="X255" s="364">
        <v>0</v>
      </c>
      <c r="Y255" s="364">
        <v>44588.81</v>
      </c>
      <c r="Z255" s="364"/>
      <c r="AA255" s="364"/>
    </row>
    <row r="256" spans="2:27" x14ac:dyDescent="0.25">
      <c r="B256" s="364" t="s">
        <v>914</v>
      </c>
      <c r="C256" s="364" t="s">
        <v>840</v>
      </c>
      <c r="D256" s="364" t="s">
        <v>841</v>
      </c>
      <c r="E256" s="364" t="s">
        <v>1142</v>
      </c>
      <c r="F256" s="364">
        <v>1</v>
      </c>
      <c r="G256" s="364">
        <v>0</v>
      </c>
      <c r="H256" s="364">
        <v>0</v>
      </c>
      <c r="I256" s="364">
        <v>0</v>
      </c>
      <c r="J256" s="364">
        <v>0</v>
      </c>
      <c r="K256" s="364">
        <v>0</v>
      </c>
      <c r="L256" s="364">
        <v>0</v>
      </c>
      <c r="M256" s="364">
        <v>7</v>
      </c>
      <c r="N256" s="364">
        <v>35</v>
      </c>
      <c r="O256" s="364">
        <v>0</v>
      </c>
      <c r="P256" s="364">
        <v>0</v>
      </c>
      <c r="Q256" s="364">
        <v>0</v>
      </c>
      <c r="R256" s="364">
        <v>0</v>
      </c>
      <c r="S256" s="364">
        <v>0</v>
      </c>
      <c r="T256" s="364">
        <v>0</v>
      </c>
      <c r="U256" s="364">
        <v>0</v>
      </c>
      <c r="V256" s="364">
        <v>1</v>
      </c>
      <c r="W256" s="364">
        <v>35</v>
      </c>
      <c r="X256" s="364">
        <v>0</v>
      </c>
      <c r="Y256" s="364">
        <v>41053.94</v>
      </c>
      <c r="Z256" s="364"/>
      <c r="AA256" s="364"/>
    </row>
    <row r="257" spans="2:27" x14ac:dyDescent="0.25">
      <c r="B257" s="364" t="s">
        <v>914</v>
      </c>
      <c r="C257" s="364" t="s">
        <v>832</v>
      </c>
      <c r="D257" s="364" t="s">
        <v>833</v>
      </c>
      <c r="E257" s="364" t="s">
        <v>1143</v>
      </c>
      <c r="F257" s="364">
        <v>1</v>
      </c>
      <c r="G257" s="364">
        <v>0</v>
      </c>
      <c r="H257" s="364">
        <v>0</v>
      </c>
      <c r="I257" s="364">
        <v>0</v>
      </c>
      <c r="J257" s="364">
        <v>0</v>
      </c>
      <c r="K257" s="364">
        <v>0</v>
      </c>
      <c r="L257" s="364">
        <v>0</v>
      </c>
      <c r="M257" s="364">
        <v>7</v>
      </c>
      <c r="N257" s="364">
        <v>35</v>
      </c>
      <c r="O257" s="364">
        <v>0</v>
      </c>
      <c r="P257" s="364">
        <v>0</v>
      </c>
      <c r="Q257" s="364">
        <v>0</v>
      </c>
      <c r="R257" s="364">
        <v>0</v>
      </c>
      <c r="S257" s="364">
        <v>0</v>
      </c>
      <c r="T257" s="364">
        <v>0</v>
      </c>
      <c r="U257" s="364">
        <v>0</v>
      </c>
      <c r="V257" s="364">
        <v>1</v>
      </c>
      <c r="W257" s="364">
        <v>35</v>
      </c>
      <c r="X257" s="364">
        <v>0</v>
      </c>
      <c r="Y257" s="364">
        <v>39605.07</v>
      </c>
      <c r="Z257" s="364"/>
      <c r="AA257" s="364"/>
    </row>
    <row r="258" spans="2:27" x14ac:dyDescent="0.25">
      <c r="B258" s="364" t="s">
        <v>914</v>
      </c>
      <c r="C258" s="364" t="s">
        <v>802</v>
      </c>
      <c r="D258" s="364" t="s">
        <v>803</v>
      </c>
      <c r="E258" s="364" t="s">
        <v>1144</v>
      </c>
      <c r="F258" s="364">
        <v>1</v>
      </c>
      <c r="G258" s="364">
        <v>0</v>
      </c>
      <c r="H258" s="364">
        <v>0</v>
      </c>
      <c r="I258" s="364">
        <v>0</v>
      </c>
      <c r="J258" s="364">
        <v>0</v>
      </c>
      <c r="K258" s="364">
        <v>0</v>
      </c>
      <c r="L258" s="364">
        <v>0</v>
      </c>
      <c r="M258" s="364">
        <v>7</v>
      </c>
      <c r="N258" s="364">
        <v>35</v>
      </c>
      <c r="O258" s="364">
        <v>0</v>
      </c>
      <c r="P258" s="364">
        <v>0</v>
      </c>
      <c r="Q258" s="364">
        <v>0</v>
      </c>
      <c r="R258" s="364">
        <v>0</v>
      </c>
      <c r="S258" s="364">
        <v>0</v>
      </c>
      <c r="T258" s="364">
        <v>0</v>
      </c>
      <c r="U258" s="364">
        <v>0</v>
      </c>
      <c r="V258" s="364">
        <v>1</v>
      </c>
      <c r="W258" s="364">
        <v>35</v>
      </c>
      <c r="X258" s="364">
        <v>0</v>
      </c>
      <c r="Y258" s="364">
        <v>37543.589999999997</v>
      </c>
      <c r="Z258" s="364"/>
      <c r="AA258" s="364"/>
    </row>
    <row r="259" spans="2:27" x14ac:dyDescent="0.25">
      <c r="B259" s="364" t="s">
        <v>914</v>
      </c>
      <c r="C259" s="364" t="s">
        <v>822</v>
      </c>
      <c r="D259" s="364" t="s">
        <v>823</v>
      </c>
      <c r="E259" s="364" t="s">
        <v>1145</v>
      </c>
      <c r="F259" s="364">
        <v>1</v>
      </c>
      <c r="G259" s="364">
        <v>0</v>
      </c>
      <c r="H259" s="364">
        <v>0</v>
      </c>
      <c r="I259" s="364">
        <v>0</v>
      </c>
      <c r="J259" s="364">
        <v>0</v>
      </c>
      <c r="K259" s="364">
        <v>0</v>
      </c>
      <c r="L259" s="364">
        <v>0</v>
      </c>
      <c r="M259" s="364">
        <v>7</v>
      </c>
      <c r="N259" s="364">
        <v>35</v>
      </c>
      <c r="O259" s="364">
        <v>0</v>
      </c>
      <c r="P259" s="364">
        <v>0</v>
      </c>
      <c r="Q259" s="364">
        <v>0</v>
      </c>
      <c r="R259" s="364">
        <v>0</v>
      </c>
      <c r="S259" s="364">
        <v>0</v>
      </c>
      <c r="T259" s="364">
        <v>0</v>
      </c>
      <c r="U259" s="364">
        <v>0</v>
      </c>
      <c r="V259" s="364">
        <v>1</v>
      </c>
      <c r="W259" s="364">
        <v>35</v>
      </c>
      <c r="X259" s="364">
        <v>0</v>
      </c>
      <c r="Y259" s="364">
        <v>35038.589999999997</v>
      </c>
      <c r="Z259" s="364"/>
      <c r="AA259" s="364"/>
    </row>
    <row r="260" spans="2:27" x14ac:dyDescent="0.25">
      <c r="B260" s="364" t="s">
        <v>914</v>
      </c>
      <c r="C260" s="364" t="s">
        <v>810</v>
      </c>
      <c r="D260" s="364" t="s">
        <v>811</v>
      </c>
      <c r="E260" s="364" t="s">
        <v>1146</v>
      </c>
      <c r="F260" s="364">
        <v>1</v>
      </c>
      <c r="G260" s="364">
        <v>0</v>
      </c>
      <c r="H260" s="364">
        <v>0</v>
      </c>
      <c r="I260" s="364">
        <v>0</v>
      </c>
      <c r="J260" s="364">
        <v>0</v>
      </c>
      <c r="K260" s="364">
        <v>0</v>
      </c>
      <c r="L260" s="364">
        <v>0</v>
      </c>
      <c r="M260" s="364">
        <v>7</v>
      </c>
      <c r="N260" s="364">
        <v>35</v>
      </c>
      <c r="O260" s="364">
        <v>0</v>
      </c>
      <c r="P260" s="364">
        <v>0</v>
      </c>
      <c r="Q260" s="364">
        <v>0</v>
      </c>
      <c r="R260" s="364">
        <v>0</v>
      </c>
      <c r="S260" s="364">
        <v>0</v>
      </c>
      <c r="T260" s="364">
        <v>0</v>
      </c>
      <c r="U260" s="364">
        <v>0</v>
      </c>
      <c r="V260" s="364">
        <v>1</v>
      </c>
      <c r="W260" s="364">
        <v>35</v>
      </c>
      <c r="X260" s="364">
        <v>0</v>
      </c>
      <c r="Y260" s="364">
        <v>37543.599999999999</v>
      </c>
      <c r="Z260" s="364"/>
      <c r="AA260" s="364"/>
    </row>
    <row r="261" spans="2:27" x14ac:dyDescent="0.25">
      <c r="B261" s="364" t="s">
        <v>914</v>
      </c>
      <c r="C261" s="364" t="s">
        <v>850</v>
      </c>
      <c r="D261" s="364" t="s">
        <v>851</v>
      </c>
      <c r="E261" s="364" t="s">
        <v>1148</v>
      </c>
      <c r="F261" s="364">
        <v>1</v>
      </c>
      <c r="G261" s="364">
        <v>0</v>
      </c>
      <c r="H261" s="364">
        <v>0</v>
      </c>
      <c r="I261" s="364">
        <v>0</v>
      </c>
      <c r="J261" s="364">
        <v>0</v>
      </c>
      <c r="K261" s="364">
        <v>0</v>
      </c>
      <c r="L261" s="364">
        <v>0</v>
      </c>
      <c r="M261" s="364">
        <v>7</v>
      </c>
      <c r="N261" s="364">
        <v>35</v>
      </c>
      <c r="O261" s="364">
        <v>0</v>
      </c>
      <c r="P261" s="364">
        <v>0</v>
      </c>
      <c r="Q261" s="364">
        <v>0</v>
      </c>
      <c r="R261" s="364">
        <v>0</v>
      </c>
      <c r="S261" s="364">
        <v>0</v>
      </c>
      <c r="T261" s="364">
        <v>0</v>
      </c>
      <c r="U261" s="364">
        <v>0</v>
      </c>
      <c r="V261" s="364">
        <v>1</v>
      </c>
      <c r="W261" s="364">
        <v>35</v>
      </c>
      <c r="X261" s="364">
        <v>0</v>
      </c>
      <c r="Y261" s="364">
        <v>41253.94</v>
      </c>
      <c r="Z261" s="364"/>
      <c r="AA261" s="364"/>
    </row>
    <row r="262" spans="2:27" x14ac:dyDescent="0.25">
      <c r="B262" s="364" t="s">
        <v>914</v>
      </c>
      <c r="C262" s="364" t="s">
        <v>901</v>
      </c>
      <c r="D262" s="364" t="s">
        <v>902</v>
      </c>
      <c r="E262" s="364" t="s">
        <v>1149</v>
      </c>
      <c r="F262" s="364">
        <v>1</v>
      </c>
      <c r="G262" s="364">
        <v>0</v>
      </c>
      <c r="H262" s="364">
        <v>0</v>
      </c>
      <c r="I262" s="364">
        <v>0</v>
      </c>
      <c r="J262" s="364">
        <v>0</v>
      </c>
      <c r="K262" s="364">
        <v>0</v>
      </c>
      <c r="L262" s="364">
        <v>0</v>
      </c>
      <c r="M262" s="364">
        <v>7</v>
      </c>
      <c r="N262" s="364">
        <v>35</v>
      </c>
      <c r="O262" s="364">
        <v>0</v>
      </c>
      <c r="P262" s="364">
        <v>0</v>
      </c>
      <c r="Q262" s="364">
        <v>0</v>
      </c>
      <c r="R262" s="364">
        <v>0</v>
      </c>
      <c r="S262" s="364">
        <v>0</v>
      </c>
      <c r="T262" s="364">
        <v>0</v>
      </c>
      <c r="U262" s="364">
        <v>0</v>
      </c>
      <c r="V262" s="364">
        <v>1</v>
      </c>
      <c r="W262" s="364">
        <v>35</v>
      </c>
      <c r="X262" s="364">
        <v>0</v>
      </c>
      <c r="Y262" s="364">
        <v>51389.1</v>
      </c>
      <c r="Z262" s="364"/>
      <c r="AA262" s="364"/>
    </row>
    <row r="263" spans="2:27" x14ac:dyDescent="0.25">
      <c r="B263" s="364" t="s">
        <v>914</v>
      </c>
      <c r="C263" s="364" t="s">
        <v>897</v>
      </c>
      <c r="D263" s="364" t="s">
        <v>898</v>
      </c>
      <c r="E263" s="364" t="s">
        <v>1150</v>
      </c>
      <c r="F263" s="364">
        <v>1</v>
      </c>
      <c r="G263" s="364">
        <v>0</v>
      </c>
      <c r="H263" s="364">
        <v>0</v>
      </c>
      <c r="I263" s="364">
        <v>0</v>
      </c>
      <c r="J263" s="364">
        <v>0</v>
      </c>
      <c r="K263" s="364">
        <v>0</v>
      </c>
      <c r="L263" s="364">
        <v>0</v>
      </c>
      <c r="M263" s="364">
        <v>7</v>
      </c>
      <c r="N263" s="364">
        <v>35</v>
      </c>
      <c r="O263" s="364">
        <v>0</v>
      </c>
      <c r="P263" s="364">
        <v>0</v>
      </c>
      <c r="Q263" s="364">
        <v>0</v>
      </c>
      <c r="R263" s="364">
        <v>0</v>
      </c>
      <c r="S263" s="364">
        <v>0</v>
      </c>
      <c r="T263" s="364">
        <v>0</v>
      </c>
      <c r="U263" s="364">
        <v>0</v>
      </c>
      <c r="V263" s="364">
        <v>1</v>
      </c>
      <c r="W263" s="364">
        <v>35</v>
      </c>
      <c r="X263" s="364">
        <v>0</v>
      </c>
      <c r="Y263" s="364">
        <v>37756.92</v>
      </c>
      <c r="Z263" s="364"/>
      <c r="AA263" s="364"/>
    </row>
    <row r="264" spans="2:27" x14ac:dyDescent="0.25">
      <c r="B264" s="364" t="s">
        <v>914</v>
      </c>
      <c r="C264" s="364" t="s">
        <v>885</v>
      </c>
      <c r="D264" s="364" t="s">
        <v>886</v>
      </c>
      <c r="E264" s="364" t="s">
        <v>1151</v>
      </c>
      <c r="F264" s="364">
        <v>1</v>
      </c>
      <c r="G264" s="364">
        <v>0</v>
      </c>
      <c r="H264" s="364">
        <v>0</v>
      </c>
      <c r="I264" s="364">
        <v>0</v>
      </c>
      <c r="J264" s="364">
        <v>0</v>
      </c>
      <c r="K264" s="364">
        <v>0</v>
      </c>
      <c r="L264" s="364">
        <v>0</v>
      </c>
      <c r="M264" s="364">
        <v>7</v>
      </c>
      <c r="N264" s="364">
        <v>35</v>
      </c>
      <c r="O264" s="364">
        <v>0</v>
      </c>
      <c r="P264" s="364">
        <v>0</v>
      </c>
      <c r="Q264" s="364">
        <v>0</v>
      </c>
      <c r="R264" s="364">
        <v>0</v>
      </c>
      <c r="S264" s="364">
        <v>0</v>
      </c>
      <c r="T264" s="364">
        <v>0</v>
      </c>
      <c r="U264" s="364">
        <v>0</v>
      </c>
      <c r="V264" s="364">
        <v>1</v>
      </c>
      <c r="W264" s="364">
        <v>35</v>
      </c>
      <c r="X264" s="364">
        <v>0</v>
      </c>
      <c r="Y264" s="364">
        <v>38537.72</v>
      </c>
      <c r="Z264" s="364"/>
      <c r="AA264" s="364"/>
    </row>
    <row r="265" spans="2:27" x14ac:dyDescent="0.25">
      <c r="B265" s="364" t="s">
        <v>914</v>
      </c>
      <c r="C265" s="364" t="s">
        <v>879</v>
      </c>
      <c r="D265" s="364" t="s">
        <v>880</v>
      </c>
      <c r="E265" s="364" t="s">
        <v>1152</v>
      </c>
      <c r="F265" s="364">
        <v>1</v>
      </c>
      <c r="G265" s="364">
        <v>0</v>
      </c>
      <c r="H265" s="364">
        <v>0</v>
      </c>
      <c r="I265" s="364">
        <v>0</v>
      </c>
      <c r="J265" s="364">
        <v>0</v>
      </c>
      <c r="K265" s="364">
        <v>0</v>
      </c>
      <c r="L265" s="364">
        <v>0</v>
      </c>
      <c r="M265" s="364">
        <v>7</v>
      </c>
      <c r="N265" s="364">
        <v>35</v>
      </c>
      <c r="O265" s="364">
        <v>0</v>
      </c>
      <c r="P265" s="364">
        <v>0</v>
      </c>
      <c r="Q265" s="364">
        <v>0</v>
      </c>
      <c r="R265" s="364">
        <v>0</v>
      </c>
      <c r="S265" s="364">
        <v>0</v>
      </c>
      <c r="T265" s="364">
        <v>0</v>
      </c>
      <c r="U265" s="364">
        <v>0</v>
      </c>
      <c r="V265" s="364">
        <v>1</v>
      </c>
      <c r="W265" s="364">
        <v>35</v>
      </c>
      <c r="X265" s="364">
        <v>0</v>
      </c>
      <c r="Y265" s="364">
        <v>51389.1</v>
      </c>
      <c r="Z265" s="364"/>
      <c r="AA265" s="364"/>
    </row>
    <row r="266" spans="2:27" x14ac:dyDescent="0.25">
      <c r="B266" s="364" t="s">
        <v>914</v>
      </c>
      <c r="C266" s="364" t="s">
        <v>853</v>
      </c>
      <c r="D266" s="364" t="s">
        <v>854</v>
      </c>
      <c r="E266" s="364" t="s">
        <v>1153</v>
      </c>
      <c r="F266" s="364">
        <v>1</v>
      </c>
      <c r="G266" s="364">
        <v>0</v>
      </c>
      <c r="H266" s="364">
        <v>0</v>
      </c>
      <c r="I266" s="364">
        <v>0</v>
      </c>
      <c r="J266" s="364">
        <v>0</v>
      </c>
      <c r="K266" s="364">
        <v>0</v>
      </c>
      <c r="L266" s="364">
        <v>0</v>
      </c>
      <c r="M266" s="364">
        <v>7</v>
      </c>
      <c r="N266" s="364">
        <v>35</v>
      </c>
      <c r="O266" s="364">
        <v>0</v>
      </c>
      <c r="P266" s="364">
        <v>0</v>
      </c>
      <c r="Q266" s="364">
        <v>0</v>
      </c>
      <c r="R266" s="364">
        <v>0</v>
      </c>
      <c r="S266" s="364">
        <v>0</v>
      </c>
      <c r="T266" s="364">
        <v>0</v>
      </c>
      <c r="U266" s="364">
        <v>0</v>
      </c>
      <c r="V266" s="364">
        <v>1</v>
      </c>
      <c r="W266" s="364">
        <v>35</v>
      </c>
      <c r="X266" s="364">
        <v>0</v>
      </c>
      <c r="Y266" s="364">
        <v>33126.85</v>
      </c>
      <c r="Z266" s="364"/>
      <c r="AA266" s="364"/>
    </row>
    <row r="267" spans="2:27" x14ac:dyDescent="0.25">
      <c r="B267" s="364" t="s">
        <v>914</v>
      </c>
      <c r="C267" s="364" t="s">
        <v>871</v>
      </c>
      <c r="D267" s="364" t="s">
        <v>872</v>
      </c>
      <c r="E267" s="364" t="s">
        <v>1154</v>
      </c>
      <c r="F267" s="364">
        <v>1</v>
      </c>
      <c r="G267" s="364">
        <v>0</v>
      </c>
      <c r="H267" s="364">
        <v>0</v>
      </c>
      <c r="I267" s="364">
        <v>0</v>
      </c>
      <c r="J267" s="364">
        <v>0</v>
      </c>
      <c r="K267" s="364">
        <v>0</v>
      </c>
      <c r="L267" s="364">
        <v>0</v>
      </c>
      <c r="M267" s="364">
        <v>7</v>
      </c>
      <c r="N267" s="364">
        <v>35</v>
      </c>
      <c r="O267" s="364">
        <v>0</v>
      </c>
      <c r="P267" s="364">
        <v>0</v>
      </c>
      <c r="Q267" s="364">
        <v>0</v>
      </c>
      <c r="R267" s="364">
        <v>0</v>
      </c>
      <c r="S267" s="364">
        <v>0</v>
      </c>
      <c r="T267" s="364">
        <v>0</v>
      </c>
      <c r="U267" s="364">
        <v>0</v>
      </c>
      <c r="V267" s="364">
        <v>1</v>
      </c>
      <c r="W267" s="364">
        <v>35</v>
      </c>
      <c r="X267" s="364">
        <v>0</v>
      </c>
      <c r="Y267" s="364">
        <v>40991.25</v>
      </c>
      <c r="Z267" s="364"/>
      <c r="AA267" s="364"/>
    </row>
    <row r="268" spans="2:27" x14ac:dyDescent="0.25">
      <c r="B268" s="364" t="s">
        <v>914</v>
      </c>
      <c r="C268" s="364" t="s">
        <v>869</v>
      </c>
      <c r="D268" s="364" t="s">
        <v>870</v>
      </c>
      <c r="E268" s="364" t="s">
        <v>1155</v>
      </c>
      <c r="F268" s="364">
        <v>1</v>
      </c>
      <c r="G268" s="364">
        <v>0</v>
      </c>
      <c r="H268" s="364">
        <v>0</v>
      </c>
      <c r="I268" s="364">
        <v>0</v>
      </c>
      <c r="J268" s="364">
        <v>0</v>
      </c>
      <c r="K268" s="364">
        <v>0</v>
      </c>
      <c r="L268" s="364">
        <v>0</v>
      </c>
      <c r="M268" s="364">
        <v>7</v>
      </c>
      <c r="N268" s="364">
        <v>35</v>
      </c>
      <c r="O268" s="364">
        <v>0</v>
      </c>
      <c r="P268" s="364">
        <v>0</v>
      </c>
      <c r="Q268" s="364">
        <v>0</v>
      </c>
      <c r="R268" s="364">
        <v>0</v>
      </c>
      <c r="S268" s="364">
        <v>0</v>
      </c>
      <c r="T268" s="364">
        <v>0</v>
      </c>
      <c r="U268" s="364">
        <v>0</v>
      </c>
      <c r="V268" s="364">
        <v>1</v>
      </c>
      <c r="W268" s="364">
        <v>35</v>
      </c>
      <c r="X268" s="364">
        <v>0</v>
      </c>
      <c r="Y268" s="364">
        <v>37540.300000000003</v>
      </c>
      <c r="Z268" s="364"/>
      <c r="AA268" s="364"/>
    </row>
    <row r="269" spans="2:27" x14ac:dyDescent="0.25">
      <c r="B269" s="364" t="s">
        <v>914</v>
      </c>
      <c r="C269" s="364" t="s">
        <v>875</v>
      </c>
      <c r="D269" s="364" t="s">
        <v>876</v>
      </c>
      <c r="E269" s="364" t="s">
        <v>1156</v>
      </c>
      <c r="F269" s="364">
        <v>1</v>
      </c>
      <c r="G269" s="364">
        <v>0</v>
      </c>
      <c r="H269" s="364">
        <v>0</v>
      </c>
      <c r="I269" s="364">
        <v>0</v>
      </c>
      <c r="J269" s="364">
        <v>0</v>
      </c>
      <c r="K269" s="364">
        <v>0</v>
      </c>
      <c r="L269" s="364">
        <v>0</v>
      </c>
      <c r="M269" s="364">
        <v>7</v>
      </c>
      <c r="N269" s="364">
        <v>35</v>
      </c>
      <c r="O269" s="364">
        <v>0</v>
      </c>
      <c r="P269" s="364">
        <v>0</v>
      </c>
      <c r="Q269" s="364">
        <v>0</v>
      </c>
      <c r="R269" s="364">
        <v>0</v>
      </c>
      <c r="S269" s="364">
        <v>0</v>
      </c>
      <c r="T269" s="364">
        <v>0</v>
      </c>
      <c r="U269" s="364">
        <v>0</v>
      </c>
      <c r="V269" s="364">
        <v>1</v>
      </c>
      <c r="W269" s="364">
        <v>35</v>
      </c>
      <c r="X269" s="364">
        <v>0</v>
      </c>
      <c r="Y269" s="364">
        <v>34968.5</v>
      </c>
      <c r="Z269" s="364"/>
      <c r="AA269" s="364"/>
    </row>
    <row r="270" spans="2:27" x14ac:dyDescent="0.25">
      <c r="B270" s="364" t="s">
        <v>914</v>
      </c>
      <c r="C270" s="364" t="s">
        <v>895</v>
      </c>
      <c r="D270" s="364" t="s">
        <v>896</v>
      </c>
      <c r="E270" s="364" t="s">
        <v>1157</v>
      </c>
      <c r="F270" s="364">
        <v>1</v>
      </c>
      <c r="G270" s="364">
        <v>0</v>
      </c>
      <c r="H270" s="364">
        <v>0</v>
      </c>
      <c r="I270" s="364">
        <v>0</v>
      </c>
      <c r="J270" s="364">
        <v>0</v>
      </c>
      <c r="K270" s="364">
        <v>0</v>
      </c>
      <c r="L270" s="364">
        <v>0</v>
      </c>
      <c r="M270" s="364">
        <v>7</v>
      </c>
      <c r="N270" s="364">
        <v>35</v>
      </c>
      <c r="O270" s="364">
        <v>0</v>
      </c>
      <c r="P270" s="364">
        <v>0</v>
      </c>
      <c r="Q270" s="364">
        <v>0</v>
      </c>
      <c r="R270" s="364">
        <v>0</v>
      </c>
      <c r="S270" s="364">
        <v>0</v>
      </c>
      <c r="T270" s="364">
        <v>0</v>
      </c>
      <c r="U270" s="364">
        <v>0</v>
      </c>
      <c r="V270" s="364">
        <v>1</v>
      </c>
      <c r="W270" s="364">
        <v>35</v>
      </c>
      <c r="X270" s="364">
        <v>0</v>
      </c>
      <c r="Y270" s="364">
        <v>41783.269999999997</v>
      </c>
      <c r="Z270" s="364"/>
      <c r="AA270" s="364"/>
    </row>
    <row r="271" spans="2:27" x14ac:dyDescent="0.25">
      <c r="B271" s="364" t="s">
        <v>914</v>
      </c>
      <c r="C271" s="364" t="s">
        <v>907</v>
      </c>
      <c r="D271" s="364" t="s">
        <v>1404</v>
      </c>
      <c r="E271" s="364" t="s">
        <v>1158</v>
      </c>
      <c r="F271" s="364">
        <v>1</v>
      </c>
      <c r="G271" s="364">
        <v>0</v>
      </c>
      <c r="H271" s="364">
        <v>0</v>
      </c>
      <c r="I271" s="364">
        <v>0</v>
      </c>
      <c r="J271" s="364">
        <v>0</v>
      </c>
      <c r="K271" s="364">
        <v>0</v>
      </c>
      <c r="L271" s="364">
        <v>0</v>
      </c>
      <c r="M271" s="364">
        <v>7</v>
      </c>
      <c r="N271" s="364">
        <v>35</v>
      </c>
      <c r="O271" s="364">
        <v>0</v>
      </c>
      <c r="P271" s="364">
        <v>0</v>
      </c>
      <c r="Q271" s="364">
        <v>0</v>
      </c>
      <c r="R271" s="364">
        <v>0</v>
      </c>
      <c r="S271" s="364">
        <v>0</v>
      </c>
      <c r="T271" s="364">
        <v>0</v>
      </c>
      <c r="U271" s="364">
        <v>0</v>
      </c>
      <c r="V271" s="364">
        <v>1</v>
      </c>
      <c r="W271" s="364">
        <v>35</v>
      </c>
      <c r="X271" s="364">
        <v>0</v>
      </c>
      <c r="Y271" s="364">
        <v>78119.22</v>
      </c>
      <c r="Z271" s="364"/>
      <c r="AA271" s="364"/>
    </row>
    <row r="272" spans="2:27" x14ac:dyDescent="0.25">
      <c r="B272" s="364" t="s">
        <v>914</v>
      </c>
      <c r="C272" s="364" t="s">
        <v>903</v>
      </c>
      <c r="D272" s="364" t="s">
        <v>904</v>
      </c>
      <c r="E272" s="364" t="s">
        <v>1159</v>
      </c>
      <c r="F272" s="364">
        <v>1</v>
      </c>
      <c r="G272" s="364">
        <v>0</v>
      </c>
      <c r="H272" s="364">
        <v>0</v>
      </c>
      <c r="I272" s="364">
        <v>0</v>
      </c>
      <c r="J272" s="364">
        <v>0</v>
      </c>
      <c r="K272" s="364">
        <v>0</v>
      </c>
      <c r="L272" s="364">
        <v>0</v>
      </c>
      <c r="M272" s="364">
        <v>7</v>
      </c>
      <c r="N272" s="364">
        <v>35</v>
      </c>
      <c r="O272" s="364">
        <v>0</v>
      </c>
      <c r="P272" s="364">
        <v>0</v>
      </c>
      <c r="Q272" s="364">
        <v>0</v>
      </c>
      <c r="R272" s="364">
        <v>0</v>
      </c>
      <c r="S272" s="364">
        <v>0</v>
      </c>
      <c r="T272" s="364">
        <v>0</v>
      </c>
      <c r="U272" s="364">
        <v>0</v>
      </c>
      <c r="V272" s="364">
        <v>1</v>
      </c>
      <c r="W272" s="364">
        <v>35</v>
      </c>
      <c r="X272" s="364">
        <v>0</v>
      </c>
      <c r="Y272" s="364">
        <v>70163.490000000005</v>
      </c>
      <c r="Z272" s="364"/>
      <c r="AA272" s="364"/>
    </row>
    <row r="273" spans="2:27" x14ac:dyDescent="0.25">
      <c r="B273" s="364" t="s">
        <v>914</v>
      </c>
      <c r="C273" s="364" t="s">
        <v>905</v>
      </c>
      <c r="D273" s="364" t="s">
        <v>906</v>
      </c>
      <c r="E273" s="364" t="s">
        <v>1160</v>
      </c>
      <c r="F273" s="364">
        <v>1</v>
      </c>
      <c r="G273" s="364">
        <v>0</v>
      </c>
      <c r="H273" s="364">
        <v>0</v>
      </c>
      <c r="I273" s="364">
        <v>0</v>
      </c>
      <c r="J273" s="364">
        <v>0</v>
      </c>
      <c r="K273" s="364">
        <v>0</v>
      </c>
      <c r="L273" s="364">
        <v>0</v>
      </c>
      <c r="M273" s="364">
        <v>7</v>
      </c>
      <c r="N273" s="364">
        <v>35</v>
      </c>
      <c r="O273" s="364">
        <v>0</v>
      </c>
      <c r="P273" s="364">
        <v>0</v>
      </c>
      <c r="Q273" s="364">
        <v>0</v>
      </c>
      <c r="R273" s="364">
        <v>0</v>
      </c>
      <c r="S273" s="364">
        <v>0</v>
      </c>
      <c r="T273" s="364">
        <v>0</v>
      </c>
      <c r="U273" s="364">
        <v>0</v>
      </c>
      <c r="V273" s="364">
        <v>1</v>
      </c>
      <c r="W273" s="364">
        <v>35</v>
      </c>
      <c r="X273" s="364">
        <v>0</v>
      </c>
      <c r="Y273" s="364">
        <v>70163.490000000005</v>
      </c>
      <c r="Z273" s="364"/>
      <c r="AA273" s="364"/>
    </row>
    <row r="274" spans="2:27" x14ac:dyDescent="0.25">
      <c r="B274" s="364" t="s">
        <v>914</v>
      </c>
      <c r="C274" s="364" t="s">
        <v>899</v>
      </c>
      <c r="D274" s="364" t="s">
        <v>900</v>
      </c>
      <c r="E274" s="364" t="s">
        <v>1161</v>
      </c>
      <c r="F274" s="364">
        <v>1</v>
      </c>
      <c r="G274" s="364">
        <v>0</v>
      </c>
      <c r="H274" s="364">
        <v>0</v>
      </c>
      <c r="I274" s="364">
        <v>0</v>
      </c>
      <c r="J274" s="364">
        <v>0</v>
      </c>
      <c r="K274" s="364">
        <v>0</v>
      </c>
      <c r="L274" s="364">
        <v>0</v>
      </c>
      <c r="M274" s="364">
        <v>7</v>
      </c>
      <c r="N274" s="364">
        <v>35</v>
      </c>
      <c r="O274" s="364">
        <v>0</v>
      </c>
      <c r="P274" s="364">
        <v>0</v>
      </c>
      <c r="Q274" s="364">
        <v>0</v>
      </c>
      <c r="R274" s="364">
        <v>0</v>
      </c>
      <c r="S274" s="364">
        <v>0</v>
      </c>
      <c r="T274" s="364">
        <v>0</v>
      </c>
      <c r="U274" s="364">
        <v>0</v>
      </c>
      <c r="V274" s="364">
        <v>1</v>
      </c>
      <c r="W274" s="364">
        <v>35</v>
      </c>
      <c r="X274" s="364">
        <v>0</v>
      </c>
      <c r="Y274" s="364">
        <v>51389.1</v>
      </c>
      <c r="Z274" s="364"/>
      <c r="AA274" s="364"/>
    </row>
    <row r="275" spans="2:27" x14ac:dyDescent="0.25">
      <c r="B275" s="364" t="s">
        <v>914</v>
      </c>
      <c r="C275" s="364" t="s">
        <v>889</v>
      </c>
      <c r="D275" s="364" t="s">
        <v>890</v>
      </c>
      <c r="E275" s="364" t="s">
        <v>1162</v>
      </c>
      <c r="F275" s="364">
        <v>1</v>
      </c>
      <c r="G275" s="364">
        <v>0</v>
      </c>
      <c r="H275" s="364">
        <v>0</v>
      </c>
      <c r="I275" s="364">
        <v>0</v>
      </c>
      <c r="J275" s="364">
        <v>0</v>
      </c>
      <c r="K275" s="364">
        <v>0</v>
      </c>
      <c r="L275" s="364">
        <v>0</v>
      </c>
      <c r="M275" s="364">
        <v>7</v>
      </c>
      <c r="N275" s="364">
        <v>35</v>
      </c>
      <c r="O275" s="364">
        <v>0</v>
      </c>
      <c r="P275" s="364">
        <v>0</v>
      </c>
      <c r="Q275" s="364">
        <v>0</v>
      </c>
      <c r="R275" s="364">
        <v>0</v>
      </c>
      <c r="S275" s="364">
        <v>0</v>
      </c>
      <c r="T275" s="364">
        <v>0</v>
      </c>
      <c r="U275" s="364">
        <v>0</v>
      </c>
      <c r="V275" s="364">
        <v>1</v>
      </c>
      <c r="W275" s="364">
        <v>35</v>
      </c>
      <c r="X275" s="364">
        <v>0</v>
      </c>
      <c r="Y275" s="364">
        <v>38537.72</v>
      </c>
      <c r="Z275" s="364"/>
      <c r="AA275" s="364"/>
    </row>
    <row r="276" spans="2:27" x14ac:dyDescent="0.25">
      <c r="B276" s="364" t="s">
        <v>914</v>
      </c>
      <c r="C276" s="364" t="s">
        <v>877</v>
      </c>
      <c r="D276" s="364" t="s">
        <v>878</v>
      </c>
      <c r="E276" s="364" t="s">
        <v>1163</v>
      </c>
      <c r="F276" s="364">
        <v>1</v>
      </c>
      <c r="G276" s="364">
        <v>0</v>
      </c>
      <c r="H276" s="364">
        <v>0</v>
      </c>
      <c r="I276" s="364">
        <v>0</v>
      </c>
      <c r="J276" s="364">
        <v>0</v>
      </c>
      <c r="K276" s="364">
        <v>0</v>
      </c>
      <c r="L276" s="364">
        <v>0</v>
      </c>
      <c r="M276" s="364">
        <v>7</v>
      </c>
      <c r="N276" s="364">
        <v>35</v>
      </c>
      <c r="O276" s="364">
        <v>0</v>
      </c>
      <c r="P276" s="364">
        <v>0</v>
      </c>
      <c r="Q276" s="364">
        <v>0</v>
      </c>
      <c r="R276" s="364">
        <v>0</v>
      </c>
      <c r="S276" s="364">
        <v>0</v>
      </c>
      <c r="T276" s="364">
        <v>0</v>
      </c>
      <c r="U276" s="364">
        <v>0</v>
      </c>
      <c r="V276" s="364">
        <v>1</v>
      </c>
      <c r="W276" s="364">
        <v>35</v>
      </c>
      <c r="X276" s="364">
        <v>0</v>
      </c>
      <c r="Y276" s="364">
        <v>37093.01</v>
      </c>
      <c r="Z276" s="364"/>
      <c r="AA276" s="364"/>
    </row>
    <row r="277" spans="2:27" x14ac:dyDescent="0.25">
      <c r="B277" s="364" t="s">
        <v>914</v>
      </c>
      <c r="C277" s="364" t="s">
        <v>861</v>
      </c>
      <c r="D277" s="364" t="s">
        <v>862</v>
      </c>
      <c r="E277" s="364" t="s">
        <v>1164</v>
      </c>
      <c r="F277" s="364">
        <v>1</v>
      </c>
      <c r="G277" s="364">
        <v>0</v>
      </c>
      <c r="H277" s="364">
        <v>0</v>
      </c>
      <c r="I277" s="364">
        <v>0</v>
      </c>
      <c r="J277" s="364">
        <v>0</v>
      </c>
      <c r="K277" s="364">
        <v>0</v>
      </c>
      <c r="L277" s="364">
        <v>0</v>
      </c>
      <c r="M277" s="364">
        <v>7</v>
      </c>
      <c r="N277" s="364">
        <v>35</v>
      </c>
      <c r="O277" s="364">
        <v>0</v>
      </c>
      <c r="P277" s="364">
        <v>0</v>
      </c>
      <c r="Q277" s="364">
        <v>0</v>
      </c>
      <c r="R277" s="364">
        <v>0</v>
      </c>
      <c r="S277" s="364">
        <v>0</v>
      </c>
      <c r="T277" s="364">
        <v>0</v>
      </c>
      <c r="U277" s="364">
        <v>0</v>
      </c>
      <c r="V277" s="364">
        <v>1</v>
      </c>
      <c r="W277" s="364">
        <v>35</v>
      </c>
      <c r="X277" s="364">
        <v>0</v>
      </c>
      <c r="Y277" s="364">
        <v>32140.78</v>
      </c>
      <c r="Z277" s="364"/>
      <c r="AA277" s="364"/>
    </row>
    <row r="278" spans="2:27" x14ac:dyDescent="0.25">
      <c r="B278" s="364" t="s">
        <v>914</v>
      </c>
      <c r="C278" s="364" t="s">
        <v>893</v>
      </c>
      <c r="D278" s="364" t="s">
        <v>894</v>
      </c>
      <c r="E278" s="364" t="s">
        <v>1165</v>
      </c>
      <c r="F278" s="364">
        <v>1</v>
      </c>
      <c r="G278" s="364">
        <v>0</v>
      </c>
      <c r="H278" s="364">
        <v>0</v>
      </c>
      <c r="I278" s="364">
        <v>0</v>
      </c>
      <c r="J278" s="364">
        <v>0</v>
      </c>
      <c r="K278" s="364">
        <v>0</v>
      </c>
      <c r="L278" s="364">
        <v>0</v>
      </c>
      <c r="M278" s="364">
        <v>7</v>
      </c>
      <c r="N278" s="364">
        <v>35</v>
      </c>
      <c r="O278" s="364">
        <v>0</v>
      </c>
      <c r="P278" s="364">
        <v>0</v>
      </c>
      <c r="Q278" s="364">
        <v>0</v>
      </c>
      <c r="R278" s="364">
        <v>0</v>
      </c>
      <c r="S278" s="364">
        <v>0</v>
      </c>
      <c r="T278" s="364">
        <v>0</v>
      </c>
      <c r="U278" s="364">
        <v>0</v>
      </c>
      <c r="V278" s="364">
        <v>1</v>
      </c>
      <c r="W278" s="364">
        <v>35</v>
      </c>
      <c r="X278" s="364">
        <v>0</v>
      </c>
      <c r="Y278" s="364">
        <v>41783.269999999997</v>
      </c>
      <c r="Z278" s="364"/>
      <c r="AA278" s="364"/>
    </row>
    <row r="279" spans="2:27" x14ac:dyDescent="0.25">
      <c r="B279" s="364" t="s">
        <v>914</v>
      </c>
      <c r="C279" s="364" t="s">
        <v>881</v>
      </c>
      <c r="D279" s="364" t="s">
        <v>882</v>
      </c>
      <c r="E279" s="364" t="s">
        <v>1166</v>
      </c>
      <c r="F279" s="364">
        <v>1</v>
      </c>
      <c r="G279" s="364">
        <v>0</v>
      </c>
      <c r="H279" s="364">
        <v>0</v>
      </c>
      <c r="I279" s="364">
        <v>0</v>
      </c>
      <c r="J279" s="364">
        <v>0</v>
      </c>
      <c r="K279" s="364">
        <v>0</v>
      </c>
      <c r="L279" s="364">
        <v>0</v>
      </c>
      <c r="M279" s="364">
        <v>7</v>
      </c>
      <c r="N279" s="364">
        <v>35</v>
      </c>
      <c r="O279" s="364">
        <v>0</v>
      </c>
      <c r="P279" s="364">
        <v>0</v>
      </c>
      <c r="Q279" s="364">
        <v>0</v>
      </c>
      <c r="R279" s="364">
        <v>0</v>
      </c>
      <c r="S279" s="364">
        <v>0</v>
      </c>
      <c r="T279" s="364">
        <v>0</v>
      </c>
      <c r="U279" s="364">
        <v>0</v>
      </c>
      <c r="V279" s="364">
        <v>1</v>
      </c>
      <c r="W279" s="364">
        <v>35</v>
      </c>
      <c r="X279" s="364">
        <v>0</v>
      </c>
      <c r="Y279" s="364">
        <v>36893.01</v>
      </c>
      <c r="Z279" s="364"/>
      <c r="AA279" s="364"/>
    </row>
    <row r="280" spans="2:27" x14ac:dyDescent="0.25">
      <c r="B280" s="364" t="s">
        <v>914</v>
      </c>
      <c r="C280" s="364" t="s">
        <v>883</v>
      </c>
      <c r="D280" s="364" t="s">
        <v>884</v>
      </c>
      <c r="E280" s="364" t="s">
        <v>1167</v>
      </c>
      <c r="F280" s="364">
        <v>1</v>
      </c>
      <c r="G280" s="364">
        <v>0</v>
      </c>
      <c r="H280" s="364">
        <v>0</v>
      </c>
      <c r="I280" s="364">
        <v>0</v>
      </c>
      <c r="J280" s="364">
        <v>0</v>
      </c>
      <c r="K280" s="364">
        <v>0</v>
      </c>
      <c r="L280" s="364">
        <v>0</v>
      </c>
      <c r="M280" s="364">
        <v>7</v>
      </c>
      <c r="N280" s="364">
        <v>35</v>
      </c>
      <c r="O280" s="364">
        <v>0</v>
      </c>
      <c r="P280" s="364">
        <v>0</v>
      </c>
      <c r="Q280" s="364">
        <v>0</v>
      </c>
      <c r="R280" s="364">
        <v>0</v>
      </c>
      <c r="S280" s="364">
        <v>0</v>
      </c>
      <c r="T280" s="364">
        <v>0</v>
      </c>
      <c r="U280" s="364">
        <v>0</v>
      </c>
      <c r="V280" s="364">
        <v>1</v>
      </c>
      <c r="W280" s="364">
        <v>35</v>
      </c>
      <c r="X280" s="364">
        <v>0</v>
      </c>
      <c r="Y280" s="364">
        <v>38537.72</v>
      </c>
      <c r="Z280" s="364"/>
      <c r="AA280" s="364"/>
    </row>
    <row r="281" spans="2:27" x14ac:dyDescent="0.25">
      <c r="B281" s="364" t="s">
        <v>914</v>
      </c>
      <c r="C281" s="364" t="s">
        <v>867</v>
      </c>
      <c r="D281" s="364" t="s">
        <v>868</v>
      </c>
      <c r="E281" s="364" t="s">
        <v>1362</v>
      </c>
      <c r="F281" s="364">
        <v>1</v>
      </c>
      <c r="G281" s="364">
        <v>0</v>
      </c>
      <c r="H281" s="364">
        <v>0</v>
      </c>
      <c r="I281" s="364">
        <v>0</v>
      </c>
      <c r="J281" s="364">
        <v>0</v>
      </c>
      <c r="K281" s="364">
        <v>0</v>
      </c>
      <c r="L281" s="364">
        <v>0</v>
      </c>
      <c r="M281" s="364">
        <v>7</v>
      </c>
      <c r="N281" s="364">
        <v>35</v>
      </c>
      <c r="O281" s="364">
        <v>0</v>
      </c>
      <c r="P281" s="364">
        <v>0</v>
      </c>
      <c r="Q281" s="364">
        <v>0</v>
      </c>
      <c r="R281" s="364">
        <v>0</v>
      </c>
      <c r="S281" s="364">
        <v>0</v>
      </c>
      <c r="T281" s="364">
        <v>0</v>
      </c>
      <c r="U281" s="364">
        <v>0</v>
      </c>
      <c r="V281" s="364">
        <v>1</v>
      </c>
      <c r="W281" s="364">
        <v>35</v>
      </c>
      <c r="X281" s="364">
        <v>0</v>
      </c>
      <c r="Y281" s="364">
        <v>34627.42</v>
      </c>
      <c r="Z281" s="364"/>
      <c r="AA281" s="364"/>
    </row>
    <row r="282" spans="2:27" x14ac:dyDescent="0.25">
      <c r="B282" s="364" t="s">
        <v>914</v>
      </c>
      <c r="C282" s="364" t="s">
        <v>855</v>
      </c>
      <c r="D282" s="364" t="s">
        <v>856</v>
      </c>
      <c r="E282" s="364" t="s">
        <v>1168</v>
      </c>
      <c r="F282" s="364">
        <v>1</v>
      </c>
      <c r="G282" s="364">
        <v>0</v>
      </c>
      <c r="H282" s="364">
        <v>0</v>
      </c>
      <c r="I282" s="364">
        <v>0</v>
      </c>
      <c r="J282" s="364">
        <v>0</v>
      </c>
      <c r="K282" s="364">
        <v>0</v>
      </c>
      <c r="L282" s="364">
        <v>0</v>
      </c>
      <c r="M282" s="364">
        <v>7</v>
      </c>
      <c r="N282" s="364">
        <v>35</v>
      </c>
      <c r="O282" s="364">
        <v>0</v>
      </c>
      <c r="P282" s="364">
        <v>0</v>
      </c>
      <c r="Q282" s="364">
        <v>0</v>
      </c>
      <c r="R282" s="364">
        <v>0</v>
      </c>
      <c r="S282" s="364">
        <v>0</v>
      </c>
      <c r="T282" s="364">
        <v>0</v>
      </c>
      <c r="U282" s="364">
        <v>0</v>
      </c>
      <c r="V282" s="364">
        <v>1</v>
      </c>
      <c r="W282" s="364">
        <v>35</v>
      </c>
      <c r="X282" s="364">
        <v>0</v>
      </c>
      <c r="Y282" s="364">
        <v>35038.6</v>
      </c>
      <c r="Z282" s="364"/>
      <c r="AA282" s="364"/>
    </row>
    <row r="283" spans="2:27" x14ac:dyDescent="0.25">
      <c r="B283" s="364" t="s">
        <v>914</v>
      </c>
      <c r="C283" s="364" t="s">
        <v>857</v>
      </c>
      <c r="D283" s="364" t="s">
        <v>858</v>
      </c>
      <c r="E283" s="364" t="s">
        <v>1169</v>
      </c>
      <c r="F283" s="364">
        <v>1</v>
      </c>
      <c r="G283" s="364">
        <v>0</v>
      </c>
      <c r="H283" s="364">
        <v>0</v>
      </c>
      <c r="I283" s="364">
        <v>0</v>
      </c>
      <c r="J283" s="364">
        <v>0</v>
      </c>
      <c r="K283" s="364">
        <v>0</v>
      </c>
      <c r="L283" s="364">
        <v>0</v>
      </c>
      <c r="M283" s="364">
        <v>7</v>
      </c>
      <c r="N283" s="364">
        <v>35</v>
      </c>
      <c r="O283" s="364">
        <v>0</v>
      </c>
      <c r="P283" s="364">
        <v>0</v>
      </c>
      <c r="Q283" s="364">
        <v>0</v>
      </c>
      <c r="R283" s="364">
        <v>0</v>
      </c>
      <c r="S283" s="364">
        <v>0</v>
      </c>
      <c r="T283" s="364">
        <v>0</v>
      </c>
      <c r="U283" s="364">
        <v>0</v>
      </c>
      <c r="V283" s="364">
        <v>1</v>
      </c>
      <c r="W283" s="364">
        <v>35</v>
      </c>
      <c r="X283" s="364">
        <v>0</v>
      </c>
      <c r="Y283" s="364">
        <v>34821.54</v>
      </c>
      <c r="Z283" s="364"/>
      <c r="AA283" s="364"/>
    </row>
    <row r="284" spans="2:27" x14ac:dyDescent="0.25">
      <c r="B284" s="364" t="s">
        <v>914</v>
      </c>
      <c r="C284" s="364" t="s">
        <v>887</v>
      </c>
      <c r="D284" s="364" t="s">
        <v>888</v>
      </c>
      <c r="E284" s="364" t="s">
        <v>1170</v>
      </c>
      <c r="F284" s="364">
        <v>1</v>
      </c>
      <c r="G284" s="364">
        <v>0</v>
      </c>
      <c r="H284" s="364">
        <v>0</v>
      </c>
      <c r="I284" s="364">
        <v>0</v>
      </c>
      <c r="J284" s="364">
        <v>0</v>
      </c>
      <c r="K284" s="364">
        <v>0</v>
      </c>
      <c r="L284" s="364">
        <v>0</v>
      </c>
      <c r="M284" s="364">
        <v>7</v>
      </c>
      <c r="N284" s="364">
        <v>35</v>
      </c>
      <c r="O284" s="364">
        <v>0</v>
      </c>
      <c r="P284" s="364">
        <v>0</v>
      </c>
      <c r="Q284" s="364">
        <v>0</v>
      </c>
      <c r="R284" s="364">
        <v>0</v>
      </c>
      <c r="S284" s="364">
        <v>0</v>
      </c>
      <c r="T284" s="364">
        <v>0</v>
      </c>
      <c r="U284" s="364">
        <v>0</v>
      </c>
      <c r="V284" s="364">
        <v>1</v>
      </c>
      <c r="W284" s="364">
        <v>35</v>
      </c>
      <c r="X284" s="364">
        <v>0</v>
      </c>
      <c r="Y284" s="364">
        <v>41253.94</v>
      </c>
      <c r="Z284" s="364"/>
      <c r="AA284" s="364"/>
    </row>
    <row r="285" spans="2:27" x14ac:dyDescent="0.25">
      <c r="B285" s="364" t="s">
        <v>914</v>
      </c>
      <c r="C285" s="364" t="s">
        <v>891</v>
      </c>
      <c r="D285" s="364" t="s">
        <v>892</v>
      </c>
      <c r="E285" s="364" t="s">
        <v>1171</v>
      </c>
      <c r="F285" s="364">
        <v>1</v>
      </c>
      <c r="G285" s="364">
        <v>0</v>
      </c>
      <c r="H285" s="364">
        <v>0</v>
      </c>
      <c r="I285" s="364">
        <v>0</v>
      </c>
      <c r="J285" s="364">
        <v>0</v>
      </c>
      <c r="K285" s="364">
        <v>0</v>
      </c>
      <c r="L285" s="364">
        <v>0</v>
      </c>
      <c r="M285" s="364">
        <v>7</v>
      </c>
      <c r="N285" s="364">
        <v>35</v>
      </c>
      <c r="O285" s="364">
        <v>0</v>
      </c>
      <c r="P285" s="364">
        <v>0</v>
      </c>
      <c r="Q285" s="364">
        <v>0</v>
      </c>
      <c r="R285" s="364">
        <v>0</v>
      </c>
      <c r="S285" s="364">
        <v>0</v>
      </c>
      <c r="T285" s="364">
        <v>0</v>
      </c>
      <c r="U285" s="364">
        <v>0</v>
      </c>
      <c r="V285" s="364">
        <v>1</v>
      </c>
      <c r="W285" s="364">
        <v>35</v>
      </c>
      <c r="X285" s="364">
        <v>0</v>
      </c>
      <c r="Y285" s="364">
        <v>38737.72</v>
      </c>
      <c r="Z285" s="364"/>
      <c r="AA285" s="364"/>
    </row>
    <row r="286" spans="2:27" x14ac:dyDescent="0.25">
      <c r="B286" s="364" t="s">
        <v>914</v>
      </c>
      <c r="C286" s="364" t="s">
        <v>859</v>
      </c>
      <c r="D286" s="364" t="s">
        <v>860</v>
      </c>
      <c r="E286" s="364" t="s">
        <v>1172</v>
      </c>
      <c r="F286" s="364">
        <v>1</v>
      </c>
      <c r="G286" s="364">
        <v>0</v>
      </c>
      <c r="H286" s="364">
        <v>0</v>
      </c>
      <c r="I286" s="364">
        <v>0</v>
      </c>
      <c r="J286" s="364">
        <v>0</v>
      </c>
      <c r="K286" s="364">
        <v>0</v>
      </c>
      <c r="L286" s="364">
        <v>0</v>
      </c>
      <c r="M286" s="364">
        <v>7</v>
      </c>
      <c r="N286" s="364">
        <v>35</v>
      </c>
      <c r="O286" s="364">
        <v>0</v>
      </c>
      <c r="P286" s="364">
        <v>0</v>
      </c>
      <c r="Q286" s="364">
        <v>0</v>
      </c>
      <c r="R286" s="364">
        <v>0</v>
      </c>
      <c r="S286" s="364">
        <v>0</v>
      </c>
      <c r="T286" s="364">
        <v>0</v>
      </c>
      <c r="U286" s="364">
        <v>0</v>
      </c>
      <c r="V286" s="364">
        <v>1</v>
      </c>
      <c r="W286" s="364">
        <v>35</v>
      </c>
      <c r="X286" s="364">
        <v>0</v>
      </c>
      <c r="Y286" s="364">
        <v>36892.410000000003</v>
      </c>
      <c r="Z286" s="364"/>
      <c r="AA286" s="364"/>
    </row>
    <row r="287" spans="2:27" x14ac:dyDescent="0.25">
      <c r="B287" s="364" t="s">
        <v>914</v>
      </c>
      <c r="C287" s="364" t="s">
        <v>863</v>
      </c>
      <c r="D287" s="364" t="s">
        <v>864</v>
      </c>
      <c r="E287" s="364" t="s">
        <v>1173</v>
      </c>
      <c r="F287" s="364">
        <v>1</v>
      </c>
      <c r="G287" s="364">
        <v>0</v>
      </c>
      <c r="H287" s="364">
        <v>0</v>
      </c>
      <c r="I287" s="364">
        <v>0</v>
      </c>
      <c r="J287" s="364">
        <v>0</v>
      </c>
      <c r="K287" s="364">
        <v>0</v>
      </c>
      <c r="L287" s="364">
        <v>0</v>
      </c>
      <c r="M287" s="364">
        <v>7</v>
      </c>
      <c r="N287" s="364">
        <v>35</v>
      </c>
      <c r="O287" s="364">
        <v>0</v>
      </c>
      <c r="P287" s="364">
        <v>0</v>
      </c>
      <c r="Q287" s="364">
        <v>0</v>
      </c>
      <c r="R287" s="364">
        <v>0</v>
      </c>
      <c r="S287" s="364">
        <v>0</v>
      </c>
      <c r="T287" s="364">
        <v>0</v>
      </c>
      <c r="U287" s="364">
        <v>0</v>
      </c>
      <c r="V287" s="364">
        <v>1</v>
      </c>
      <c r="W287" s="364">
        <v>35</v>
      </c>
      <c r="X287" s="364">
        <v>0</v>
      </c>
      <c r="Y287" s="364">
        <v>32791.96</v>
      </c>
      <c r="Z287" s="364"/>
      <c r="AA287" s="364"/>
    </row>
    <row r="288" spans="2:27" x14ac:dyDescent="0.25">
      <c r="B288" s="364" t="s">
        <v>914</v>
      </c>
      <c r="C288" s="364" t="s">
        <v>873</v>
      </c>
      <c r="D288" s="364" t="s">
        <v>874</v>
      </c>
      <c r="E288" s="364" t="s">
        <v>1363</v>
      </c>
      <c r="F288" s="364">
        <v>1</v>
      </c>
      <c r="G288" s="364">
        <v>0</v>
      </c>
      <c r="H288" s="364">
        <v>0</v>
      </c>
      <c r="I288" s="364">
        <v>0</v>
      </c>
      <c r="J288" s="364">
        <v>0</v>
      </c>
      <c r="K288" s="364">
        <v>0</v>
      </c>
      <c r="L288" s="364">
        <v>0</v>
      </c>
      <c r="M288" s="364">
        <v>7</v>
      </c>
      <c r="N288" s="364">
        <v>35</v>
      </c>
      <c r="O288" s="364">
        <v>0</v>
      </c>
      <c r="P288" s="364">
        <v>0</v>
      </c>
      <c r="Q288" s="364">
        <v>0</v>
      </c>
      <c r="R288" s="364">
        <v>0</v>
      </c>
      <c r="S288" s="364">
        <v>0</v>
      </c>
      <c r="T288" s="364">
        <v>0</v>
      </c>
      <c r="U288" s="364">
        <v>0</v>
      </c>
      <c r="V288" s="364">
        <v>1</v>
      </c>
      <c r="W288" s="364">
        <v>35</v>
      </c>
      <c r="X288" s="364">
        <v>0</v>
      </c>
      <c r="Y288" s="364">
        <v>35038.6</v>
      </c>
      <c r="Z288" s="364"/>
      <c r="AA288" s="364"/>
    </row>
    <row r="289" spans="2:27" x14ac:dyDescent="0.25">
      <c r="B289" s="364" t="s">
        <v>914</v>
      </c>
      <c r="C289" s="364" t="s">
        <v>865</v>
      </c>
      <c r="D289" s="364" t="s">
        <v>866</v>
      </c>
      <c r="E289" s="364" t="s">
        <v>1174</v>
      </c>
      <c r="F289" s="364">
        <v>1</v>
      </c>
      <c r="G289" s="364">
        <v>0</v>
      </c>
      <c r="H289" s="364">
        <v>0</v>
      </c>
      <c r="I289" s="364">
        <v>0</v>
      </c>
      <c r="J289" s="364">
        <v>0</v>
      </c>
      <c r="K289" s="364">
        <v>0</v>
      </c>
      <c r="L289" s="364">
        <v>0</v>
      </c>
      <c r="M289" s="364">
        <v>7</v>
      </c>
      <c r="N289" s="364">
        <v>35</v>
      </c>
      <c r="O289" s="364">
        <v>0</v>
      </c>
      <c r="P289" s="364">
        <v>0</v>
      </c>
      <c r="Q289" s="364">
        <v>0</v>
      </c>
      <c r="R289" s="364">
        <v>0</v>
      </c>
      <c r="S289" s="364">
        <v>0</v>
      </c>
      <c r="T289" s="364">
        <v>0</v>
      </c>
      <c r="U289" s="364">
        <v>0</v>
      </c>
      <c r="V289" s="364">
        <v>1</v>
      </c>
      <c r="W289" s="364">
        <v>35</v>
      </c>
      <c r="X289" s="364">
        <v>0</v>
      </c>
      <c r="Y289" s="364">
        <v>36058.6</v>
      </c>
      <c r="Z289" s="364"/>
      <c r="AA289" s="364"/>
    </row>
    <row r="290" spans="2:27" x14ac:dyDescent="0.25">
      <c r="B290" s="364" t="s">
        <v>914</v>
      </c>
      <c r="C290" s="364" t="s">
        <v>1175</v>
      </c>
      <c r="D290" s="364" t="s">
        <v>1176</v>
      </c>
      <c r="E290" s="364" t="s">
        <v>1177</v>
      </c>
      <c r="F290" s="364">
        <v>1</v>
      </c>
      <c r="G290" s="364">
        <v>0</v>
      </c>
      <c r="H290" s="364">
        <v>0</v>
      </c>
      <c r="I290" s="364">
        <v>0</v>
      </c>
      <c r="J290" s="364">
        <v>0</v>
      </c>
      <c r="K290" s="364">
        <v>0</v>
      </c>
      <c r="L290" s="364">
        <v>0</v>
      </c>
      <c r="M290" s="364">
        <v>7</v>
      </c>
      <c r="N290" s="364">
        <v>35</v>
      </c>
      <c r="O290" s="364">
        <v>0</v>
      </c>
      <c r="P290" s="364">
        <v>0</v>
      </c>
      <c r="Q290" s="364">
        <v>0</v>
      </c>
      <c r="R290" s="364">
        <v>0</v>
      </c>
      <c r="S290" s="364">
        <v>0</v>
      </c>
      <c r="T290" s="364">
        <v>0</v>
      </c>
      <c r="U290" s="364">
        <v>0</v>
      </c>
      <c r="V290" s="364">
        <v>1</v>
      </c>
      <c r="W290" s="364">
        <v>35</v>
      </c>
      <c r="X290" s="364">
        <v>0</v>
      </c>
      <c r="Y290" s="364">
        <v>43083.27</v>
      </c>
      <c r="Z290" s="364"/>
      <c r="AA290" s="364"/>
    </row>
    <row r="291" spans="2:27" x14ac:dyDescent="0.25">
      <c r="B291" s="364" t="s">
        <v>914</v>
      </c>
      <c r="C291" s="364" t="s">
        <v>1178</v>
      </c>
      <c r="D291" s="364" t="s">
        <v>1179</v>
      </c>
      <c r="E291" s="364" t="s">
        <v>1180</v>
      </c>
      <c r="F291" s="364">
        <v>1</v>
      </c>
      <c r="G291" s="364">
        <v>0</v>
      </c>
      <c r="H291" s="364">
        <v>0</v>
      </c>
      <c r="I291" s="364">
        <v>0</v>
      </c>
      <c r="J291" s="364">
        <v>0</v>
      </c>
      <c r="K291" s="364">
        <v>0</v>
      </c>
      <c r="L291" s="364">
        <v>0</v>
      </c>
      <c r="M291" s="364">
        <v>7</v>
      </c>
      <c r="N291" s="364">
        <v>35</v>
      </c>
      <c r="O291" s="364">
        <v>0</v>
      </c>
      <c r="P291" s="364">
        <v>0</v>
      </c>
      <c r="Q291" s="364">
        <v>0</v>
      </c>
      <c r="R291" s="364">
        <v>0</v>
      </c>
      <c r="S291" s="364">
        <v>0</v>
      </c>
      <c r="T291" s="364">
        <v>0</v>
      </c>
      <c r="U291" s="364">
        <v>0</v>
      </c>
      <c r="V291" s="364">
        <v>1</v>
      </c>
      <c r="W291" s="364">
        <v>35</v>
      </c>
      <c r="X291" s="364">
        <v>0</v>
      </c>
      <c r="Y291" s="364">
        <v>88347.42</v>
      </c>
      <c r="Z291" s="364"/>
      <c r="AA291" s="364"/>
    </row>
    <row r="292" spans="2:27" x14ac:dyDescent="0.25">
      <c r="B292" s="364" t="s">
        <v>914</v>
      </c>
      <c r="C292" s="364" t="s">
        <v>1181</v>
      </c>
      <c r="D292" s="364" t="s">
        <v>1182</v>
      </c>
      <c r="E292" s="364" t="s">
        <v>1183</v>
      </c>
      <c r="F292" s="364">
        <v>1</v>
      </c>
      <c r="G292" s="364">
        <v>0</v>
      </c>
      <c r="H292" s="364">
        <v>0</v>
      </c>
      <c r="I292" s="364">
        <v>0</v>
      </c>
      <c r="J292" s="364">
        <v>0</v>
      </c>
      <c r="K292" s="364">
        <v>0</v>
      </c>
      <c r="L292" s="364">
        <v>0</v>
      </c>
      <c r="M292" s="364">
        <v>7</v>
      </c>
      <c r="N292" s="364">
        <v>35</v>
      </c>
      <c r="O292" s="364">
        <v>0</v>
      </c>
      <c r="P292" s="364">
        <v>0</v>
      </c>
      <c r="Q292" s="364">
        <v>0</v>
      </c>
      <c r="R292" s="364">
        <v>0</v>
      </c>
      <c r="S292" s="364">
        <v>0</v>
      </c>
      <c r="T292" s="364">
        <v>0</v>
      </c>
      <c r="U292" s="364">
        <v>0</v>
      </c>
      <c r="V292" s="364">
        <v>1</v>
      </c>
      <c r="W292" s="364">
        <v>35</v>
      </c>
      <c r="X292" s="364">
        <v>0</v>
      </c>
      <c r="Y292" s="364">
        <v>38537.72</v>
      </c>
      <c r="Z292" s="364"/>
      <c r="AA292" s="364"/>
    </row>
    <row r="293" spans="2:27" x14ac:dyDescent="0.25">
      <c r="B293" s="364" t="s">
        <v>914</v>
      </c>
      <c r="C293" s="364" t="s">
        <v>1364</v>
      </c>
      <c r="D293" s="364" t="s">
        <v>1365</v>
      </c>
      <c r="E293" s="364" t="s">
        <v>1366</v>
      </c>
      <c r="F293" s="364">
        <v>1</v>
      </c>
      <c r="G293" s="364">
        <v>0</v>
      </c>
      <c r="H293" s="364">
        <v>0</v>
      </c>
      <c r="I293" s="364">
        <v>0</v>
      </c>
      <c r="J293" s="364">
        <v>0</v>
      </c>
      <c r="K293" s="364">
        <v>0</v>
      </c>
      <c r="L293" s="364">
        <v>0</v>
      </c>
      <c r="M293" s="364">
        <v>7</v>
      </c>
      <c r="N293" s="364">
        <v>35</v>
      </c>
      <c r="O293" s="364">
        <v>0</v>
      </c>
      <c r="P293" s="364">
        <v>0</v>
      </c>
      <c r="Q293" s="364">
        <v>0</v>
      </c>
      <c r="R293" s="364">
        <v>0</v>
      </c>
      <c r="S293" s="364">
        <v>0</v>
      </c>
      <c r="T293" s="364">
        <v>0</v>
      </c>
      <c r="U293" s="364">
        <v>0</v>
      </c>
      <c r="V293" s="364">
        <v>1</v>
      </c>
      <c r="W293" s="364">
        <v>35</v>
      </c>
      <c r="X293" s="364">
        <v>0</v>
      </c>
      <c r="Y293" s="364">
        <v>51389.1</v>
      </c>
      <c r="Z293" s="364"/>
      <c r="AA293" s="364"/>
    </row>
    <row r="294" spans="2:27" x14ac:dyDescent="0.25">
      <c r="B294" s="364" t="s">
        <v>914</v>
      </c>
      <c r="C294" s="364" t="s">
        <v>1367</v>
      </c>
      <c r="D294" s="364" t="s">
        <v>1368</v>
      </c>
      <c r="E294" s="364" t="s">
        <v>1369</v>
      </c>
      <c r="F294" s="364">
        <v>1</v>
      </c>
      <c r="G294" s="364">
        <v>0</v>
      </c>
      <c r="H294" s="364">
        <v>0</v>
      </c>
      <c r="I294" s="364">
        <v>0</v>
      </c>
      <c r="J294" s="364">
        <v>0</v>
      </c>
      <c r="K294" s="364">
        <v>0</v>
      </c>
      <c r="L294" s="364">
        <v>0</v>
      </c>
      <c r="M294" s="364">
        <v>7</v>
      </c>
      <c r="N294" s="364">
        <v>35</v>
      </c>
      <c r="O294" s="364">
        <v>0</v>
      </c>
      <c r="P294" s="364">
        <v>0</v>
      </c>
      <c r="Q294" s="364">
        <v>0</v>
      </c>
      <c r="R294" s="364">
        <v>0</v>
      </c>
      <c r="S294" s="364">
        <v>0</v>
      </c>
      <c r="T294" s="364">
        <v>0</v>
      </c>
      <c r="U294" s="364">
        <v>0</v>
      </c>
      <c r="V294" s="364">
        <v>1</v>
      </c>
      <c r="W294" s="364">
        <v>35</v>
      </c>
      <c r="X294" s="364">
        <v>0</v>
      </c>
      <c r="Y294" s="364">
        <v>30011.82</v>
      </c>
      <c r="Z294" s="364"/>
      <c r="AA294" s="364"/>
    </row>
    <row r="295" spans="2:27" x14ac:dyDescent="0.25">
      <c r="B295" s="364" t="s">
        <v>914</v>
      </c>
      <c r="C295" s="364" t="s">
        <v>1405</v>
      </c>
      <c r="D295" s="364" t="s">
        <v>1406</v>
      </c>
      <c r="E295" s="364" t="s">
        <v>1407</v>
      </c>
      <c r="F295" s="364">
        <v>1</v>
      </c>
      <c r="G295" s="364">
        <v>0</v>
      </c>
      <c r="H295" s="364">
        <v>0</v>
      </c>
      <c r="I295" s="364">
        <v>0</v>
      </c>
      <c r="J295" s="364">
        <v>0</v>
      </c>
      <c r="K295" s="364">
        <v>0</v>
      </c>
      <c r="L295" s="364">
        <v>0</v>
      </c>
      <c r="M295" s="364">
        <v>7</v>
      </c>
      <c r="N295" s="364">
        <v>35</v>
      </c>
      <c r="O295" s="364">
        <v>0</v>
      </c>
      <c r="P295" s="364">
        <v>0</v>
      </c>
      <c r="Q295" s="364">
        <v>0</v>
      </c>
      <c r="R295" s="364">
        <v>0</v>
      </c>
      <c r="S295" s="364">
        <v>0</v>
      </c>
      <c r="T295" s="364">
        <v>0</v>
      </c>
      <c r="U295" s="364">
        <v>0</v>
      </c>
      <c r="V295" s="364">
        <v>1</v>
      </c>
      <c r="W295" s="364">
        <v>35</v>
      </c>
      <c r="X295" s="364">
        <v>0</v>
      </c>
      <c r="Y295" s="364">
        <v>41053.94</v>
      </c>
      <c r="Z295" s="364"/>
      <c r="AA295" s="364"/>
    </row>
    <row r="296" spans="2:27" x14ac:dyDescent="0.25">
      <c r="B296" s="364" t="s">
        <v>914</v>
      </c>
      <c r="C296" s="364" t="s">
        <v>1408</v>
      </c>
      <c r="D296" s="364" t="s">
        <v>1409</v>
      </c>
      <c r="E296" s="364" t="s">
        <v>1410</v>
      </c>
      <c r="F296" s="364">
        <v>1</v>
      </c>
      <c r="G296" s="364">
        <v>0</v>
      </c>
      <c r="H296" s="364">
        <v>0</v>
      </c>
      <c r="I296" s="364">
        <v>0</v>
      </c>
      <c r="J296" s="364">
        <v>0</v>
      </c>
      <c r="K296" s="364">
        <v>0</v>
      </c>
      <c r="L296" s="364">
        <v>0</v>
      </c>
      <c r="M296" s="364">
        <v>7</v>
      </c>
      <c r="N296" s="364">
        <v>35</v>
      </c>
      <c r="O296" s="364">
        <v>0</v>
      </c>
      <c r="P296" s="364">
        <v>0</v>
      </c>
      <c r="Q296" s="364">
        <v>0</v>
      </c>
      <c r="R296" s="364">
        <v>0</v>
      </c>
      <c r="S296" s="364">
        <v>0</v>
      </c>
      <c r="T296" s="364">
        <v>0</v>
      </c>
      <c r="U296" s="364">
        <v>0</v>
      </c>
      <c r="V296" s="364">
        <v>1</v>
      </c>
      <c r="W296" s="364">
        <v>35</v>
      </c>
      <c r="X296" s="364">
        <v>0</v>
      </c>
      <c r="Y296" s="364">
        <v>32791.96</v>
      </c>
      <c r="Z296" s="364"/>
      <c r="AA296" s="364"/>
    </row>
    <row r="297" spans="2:27" x14ac:dyDescent="0.25">
      <c r="B297" s="364" t="s">
        <v>914</v>
      </c>
      <c r="C297" s="364" t="s">
        <v>1693</v>
      </c>
      <c r="D297" s="364" t="s">
        <v>1694</v>
      </c>
      <c r="E297" s="364" t="s">
        <v>1695</v>
      </c>
      <c r="F297" s="364">
        <v>1</v>
      </c>
      <c r="G297" s="364">
        <v>0</v>
      </c>
      <c r="H297" s="364">
        <v>0</v>
      </c>
      <c r="I297" s="364">
        <v>0</v>
      </c>
      <c r="J297" s="364">
        <v>0</v>
      </c>
      <c r="K297" s="364">
        <v>0</v>
      </c>
      <c r="L297" s="364">
        <v>0</v>
      </c>
      <c r="M297" s="364">
        <v>7</v>
      </c>
      <c r="N297" s="364">
        <v>35</v>
      </c>
      <c r="O297" s="364">
        <v>0</v>
      </c>
      <c r="P297" s="364">
        <v>0</v>
      </c>
      <c r="Q297" s="364">
        <v>0</v>
      </c>
      <c r="R297" s="364">
        <v>0</v>
      </c>
      <c r="S297" s="364">
        <v>0</v>
      </c>
      <c r="T297" s="364">
        <v>0</v>
      </c>
      <c r="U297" s="364">
        <v>0</v>
      </c>
      <c r="V297" s="364">
        <v>1</v>
      </c>
      <c r="W297" s="364">
        <v>35</v>
      </c>
      <c r="X297" s="364">
        <v>0</v>
      </c>
      <c r="Y297" s="364">
        <v>38537.72</v>
      </c>
      <c r="Z297" s="364"/>
      <c r="AA297" s="364"/>
    </row>
    <row r="298" spans="2:27" x14ac:dyDescent="0.25">
      <c r="B298" s="364" t="s">
        <v>914</v>
      </c>
      <c r="C298" s="364" t="s">
        <v>1411</v>
      </c>
      <c r="D298" s="364" t="s">
        <v>1412</v>
      </c>
      <c r="E298" s="364" t="s">
        <v>1413</v>
      </c>
      <c r="F298" s="364">
        <v>1</v>
      </c>
      <c r="G298" s="364">
        <v>0</v>
      </c>
      <c r="H298" s="364">
        <v>0</v>
      </c>
      <c r="I298" s="364">
        <v>0</v>
      </c>
      <c r="J298" s="364">
        <v>0</v>
      </c>
      <c r="K298" s="364">
        <v>0</v>
      </c>
      <c r="L298" s="364">
        <v>0</v>
      </c>
      <c r="M298" s="364">
        <v>7</v>
      </c>
      <c r="N298" s="364">
        <v>35</v>
      </c>
      <c r="O298" s="364">
        <v>0</v>
      </c>
      <c r="P298" s="364">
        <v>0</v>
      </c>
      <c r="Q298" s="364">
        <v>0</v>
      </c>
      <c r="R298" s="364">
        <v>0</v>
      </c>
      <c r="S298" s="364">
        <v>0</v>
      </c>
      <c r="T298" s="364">
        <v>0</v>
      </c>
      <c r="U298" s="364">
        <v>0</v>
      </c>
      <c r="V298" s="364">
        <v>1</v>
      </c>
      <c r="W298" s="364">
        <v>35</v>
      </c>
      <c r="X298" s="364">
        <v>0</v>
      </c>
      <c r="Y298" s="364">
        <v>34091.96</v>
      </c>
      <c r="Z298" s="364"/>
      <c r="AA298" s="364"/>
    </row>
    <row r="299" spans="2:27" x14ac:dyDescent="0.25">
      <c r="B299" s="364" t="s">
        <v>914</v>
      </c>
      <c r="C299" s="364" t="s">
        <v>1414</v>
      </c>
      <c r="D299" s="364" t="s">
        <v>1415</v>
      </c>
      <c r="E299" s="364" t="s">
        <v>1509</v>
      </c>
      <c r="F299" s="364">
        <v>1</v>
      </c>
      <c r="G299" s="364">
        <v>0</v>
      </c>
      <c r="H299" s="364">
        <v>0</v>
      </c>
      <c r="I299" s="364">
        <v>0</v>
      </c>
      <c r="J299" s="364">
        <v>0</v>
      </c>
      <c r="K299" s="364">
        <v>0</v>
      </c>
      <c r="L299" s="364">
        <v>0</v>
      </c>
      <c r="M299" s="364">
        <v>7</v>
      </c>
      <c r="N299" s="364">
        <v>35</v>
      </c>
      <c r="O299" s="364">
        <v>0</v>
      </c>
      <c r="P299" s="364">
        <v>0</v>
      </c>
      <c r="Q299" s="364">
        <v>0</v>
      </c>
      <c r="R299" s="364">
        <v>0</v>
      </c>
      <c r="S299" s="364">
        <v>0</v>
      </c>
      <c r="T299" s="364">
        <v>0</v>
      </c>
      <c r="U299" s="364">
        <v>0</v>
      </c>
      <c r="V299" s="364">
        <v>1</v>
      </c>
      <c r="W299" s="364">
        <v>35</v>
      </c>
      <c r="X299" s="364">
        <v>0</v>
      </c>
      <c r="Y299" s="364">
        <v>70868.490000000005</v>
      </c>
      <c r="Z299" s="364"/>
      <c r="AA299" s="364"/>
    </row>
    <row r="300" spans="2:27" x14ac:dyDescent="0.25">
      <c r="B300" s="364" t="s">
        <v>914</v>
      </c>
      <c r="C300" s="364" t="s">
        <v>1424</v>
      </c>
      <c r="D300" s="364" t="s">
        <v>1425</v>
      </c>
      <c r="E300" s="364" t="s">
        <v>1426</v>
      </c>
      <c r="F300" s="364">
        <v>1</v>
      </c>
      <c r="G300" s="364">
        <v>0</v>
      </c>
      <c r="H300" s="364">
        <v>0</v>
      </c>
      <c r="I300" s="364">
        <v>0</v>
      </c>
      <c r="J300" s="364">
        <v>0</v>
      </c>
      <c r="K300" s="364">
        <v>0</v>
      </c>
      <c r="L300" s="364">
        <v>0</v>
      </c>
      <c r="M300" s="364">
        <v>7</v>
      </c>
      <c r="N300" s="364">
        <v>35</v>
      </c>
      <c r="O300" s="364">
        <v>0</v>
      </c>
      <c r="P300" s="364">
        <v>0</v>
      </c>
      <c r="Q300" s="364">
        <v>0</v>
      </c>
      <c r="R300" s="364">
        <v>0</v>
      </c>
      <c r="S300" s="364">
        <v>0</v>
      </c>
      <c r="T300" s="364">
        <v>0</v>
      </c>
      <c r="U300" s="364">
        <v>0</v>
      </c>
      <c r="V300" s="364">
        <v>1</v>
      </c>
      <c r="W300" s="364">
        <v>35</v>
      </c>
      <c r="X300" s="364">
        <v>0</v>
      </c>
      <c r="Y300" s="364">
        <v>32791.96</v>
      </c>
      <c r="Z300" s="364"/>
      <c r="AA300" s="364"/>
    </row>
    <row r="301" spans="2:27" x14ac:dyDescent="0.25">
      <c r="B301" s="364" t="s">
        <v>914</v>
      </c>
      <c r="C301" s="364" t="s">
        <v>1427</v>
      </c>
      <c r="D301" s="364" t="s">
        <v>1428</v>
      </c>
      <c r="E301" s="364" t="s">
        <v>1429</v>
      </c>
      <c r="F301" s="364">
        <v>1</v>
      </c>
      <c r="G301" s="364">
        <v>0</v>
      </c>
      <c r="H301" s="364">
        <v>0</v>
      </c>
      <c r="I301" s="364">
        <v>0</v>
      </c>
      <c r="J301" s="364">
        <v>0</v>
      </c>
      <c r="K301" s="364">
        <v>0</v>
      </c>
      <c r="L301" s="364">
        <v>0</v>
      </c>
      <c r="M301" s="364">
        <v>7</v>
      </c>
      <c r="N301" s="364">
        <v>35</v>
      </c>
      <c r="O301" s="364">
        <v>0</v>
      </c>
      <c r="P301" s="364">
        <v>0</v>
      </c>
      <c r="Q301" s="364">
        <v>0</v>
      </c>
      <c r="R301" s="364">
        <v>0</v>
      </c>
      <c r="S301" s="364">
        <v>0</v>
      </c>
      <c r="T301" s="364">
        <v>0</v>
      </c>
      <c r="U301" s="364">
        <v>0</v>
      </c>
      <c r="V301" s="364">
        <v>1</v>
      </c>
      <c r="W301" s="364">
        <v>35</v>
      </c>
      <c r="X301" s="364">
        <v>0</v>
      </c>
      <c r="Y301" s="364">
        <v>51389.1</v>
      </c>
      <c r="Z301" s="364"/>
      <c r="AA301" s="364"/>
    </row>
    <row r="302" spans="2:27" x14ac:dyDescent="0.25">
      <c r="B302" s="364" t="s">
        <v>914</v>
      </c>
      <c r="C302" s="364" t="s">
        <v>1430</v>
      </c>
      <c r="D302" s="364" t="s">
        <v>1431</v>
      </c>
      <c r="E302" s="364" t="s">
        <v>1432</v>
      </c>
      <c r="F302" s="364">
        <v>1</v>
      </c>
      <c r="G302" s="364">
        <v>0</v>
      </c>
      <c r="H302" s="364">
        <v>0</v>
      </c>
      <c r="I302" s="364">
        <v>0</v>
      </c>
      <c r="J302" s="364">
        <v>0</v>
      </c>
      <c r="K302" s="364">
        <v>0</v>
      </c>
      <c r="L302" s="364">
        <v>0</v>
      </c>
      <c r="M302" s="364">
        <v>7</v>
      </c>
      <c r="N302" s="364">
        <v>35</v>
      </c>
      <c r="O302" s="364">
        <v>0</v>
      </c>
      <c r="P302" s="364">
        <v>0</v>
      </c>
      <c r="Q302" s="364">
        <v>0</v>
      </c>
      <c r="R302" s="364">
        <v>0</v>
      </c>
      <c r="S302" s="364">
        <v>0</v>
      </c>
      <c r="T302" s="364">
        <v>0</v>
      </c>
      <c r="U302" s="364">
        <v>0</v>
      </c>
      <c r="V302" s="364">
        <v>1</v>
      </c>
      <c r="W302" s="364">
        <v>35</v>
      </c>
      <c r="X302" s="364">
        <v>0</v>
      </c>
      <c r="Y302" s="364">
        <v>32140.78</v>
      </c>
      <c r="Z302" s="364"/>
      <c r="AA302" s="364"/>
    </row>
    <row r="303" spans="2:27" x14ac:dyDescent="0.25">
      <c r="B303" s="364" t="s">
        <v>914</v>
      </c>
      <c r="C303" s="364" t="s">
        <v>1433</v>
      </c>
      <c r="D303" s="364" t="s">
        <v>1434</v>
      </c>
      <c r="E303" s="364" t="s">
        <v>1435</v>
      </c>
      <c r="F303" s="364">
        <v>1</v>
      </c>
      <c r="G303" s="364">
        <v>0</v>
      </c>
      <c r="H303" s="364">
        <v>0</v>
      </c>
      <c r="I303" s="364">
        <v>0</v>
      </c>
      <c r="J303" s="364">
        <v>0</v>
      </c>
      <c r="K303" s="364">
        <v>0</v>
      </c>
      <c r="L303" s="364">
        <v>0</v>
      </c>
      <c r="M303" s="364">
        <v>7</v>
      </c>
      <c r="N303" s="364">
        <v>35</v>
      </c>
      <c r="O303" s="364">
        <v>0</v>
      </c>
      <c r="P303" s="364">
        <v>0</v>
      </c>
      <c r="Q303" s="364">
        <v>0</v>
      </c>
      <c r="R303" s="364">
        <v>0</v>
      </c>
      <c r="S303" s="364">
        <v>0</v>
      </c>
      <c r="T303" s="364">
        <v>0</v>
      </c>
      <c r="U303" s="364">
        <v>0</v>
      </c>
      <c r="V303" s="364">
        <v>1</v>
      </c>
      <c r="W303" s="364">
        <v>35</v>
      </c>
      <c r="X303" s="364">
        <v>0</v>
      </c>
      <c r="Y303" s="364">
        <v>36893.01</v>
      </c>
      <c r="Z303" s="364"/>
      <c r="AA303" s="364"/>
    </row>
    <row r="304" spans="2:27" x14ac:dyDescent="0.25">
      <c r="B304" s="364" t="s">
        <v>914</v>
      </c>
      <c r="C304" s="364" t="s">
        <v>1436</v>
      </c>
      <c r="D304" s="364" t="s">
        <v>1437</v>
      </c>
      <c r="E304" s="364" t="s">
        <v>1438</v>
      </c>
      <c r="F304" s="364">
        <v>1</v>
      </c>
      <c r="G304" s="364">
        <v>0</v>
      </c>
      <c r="H304" s="364">
        <v>0</v>
      </c>
      <c r="I304" s="364">
        <v>0</v>
      </c>
      <c r="J304" s="364">
        <v>0</v>
      </c>
      <c r="K304" s="364">
        <v>0</v>
      </c>
      <c r="L304" s="364">
        <v>0</v>
      </c>
      <c r="M304" s="364">
        <v>7</v>
      </c>
      <c r="N304" s="364">
        <v>35</v>
      </c>
      <c r="O304" s="364">
        <v>0</v>
      </c>
      <c r="P304" s="364">
        <v>0</v>
      </c>
      <c r="Q304" s="364">
        <v>0</v>
      </c>
      <c r="R304" s="364">
        <v>0</v>
      </c>
      <c r="S304" s="364">
        <v>0</v>
      </c>
      <c r="T304" s="364">
        <v>0</v>
      </c>
      <c r="U304" s="364">
        <v>0</v>
      </c>
      <c r="V304" s="364">
        <v>1</v>
      </c>
      <c r="W304" s="364">
        <v>35</v>
      </c>
      <c r="X304" s="364">
        <v>0</v>
      </c>
      <c r="Y304" s="364">
        <v>32791.96</v>
      </c>
      <c r="Z304" s="364"/>
      <c r="AA304" s="364"/>
    </row>
    <row r="305" spans="2:27" x14ac:dyDescent="0.25">
      <c r="B305" s="364" t="s">
        <v>914</v>
      </c>
      <c r="C305" s="364" t="s">
        <v>1439</v>
      </c>
      <c r="D305" s="364" t="s">
        <v>1440</v>
      </c>
      <c r="E305" s="364" t="s">
        <v>1441</v>
      </c>
      <c r="F305" s="364">
        <v>1</v>
      </c>
      <c r="G305" s="364">
        <v>0</v>
      </c>
      <c r="H305" s="364">
        <v>0</v>
      </c>
      <c r="I305" s="364">
        <v>0</v>
      </c>
      <c r="J305" s="364">
        <v>0</v>
      </c>
      <c r="K305" s="364">
        <v>0</v>
      </c>
      <c r="L305" s="364">
        <v>0</v>
      </c>
      <c r="M305" s="364">
        <v>7</v>
      </c>
      <c r="N305" s="364">
        <v>35</v>
      </c>
      <c r="O305" s="364">
        <v>0</v>
      </c>
      <c r="P305" s="364">
        <v>0</v>
      </c>
      <c r="Q305" s="364">
        <v>0</v>
      </c>
      <c r="R305" s="364">
        <v>0</v>
      </c>
      <c r="S305" s="364">
        <v>0</v>
      </c>
      <c r="T305" s="364">
        <v>0</v>
      </c>
      <c r="U305" s="364">
        <v>0</v>
      </c>
      <c r="V305" s="364">
        <v>1</v>
      </c>
      <c r="W305" s="364">
        <v>35</v>
      </c>
      <c r="X305" s="364">
        <v>0</v>
      </c>
      <c r="Y305" s="364">
        <v>35038.589999999997</v>
      </c>
      <c r="Z305" s="364"/>
      <c r="AA305" s="364"/>
    </row>
    <row r="306" spans="2:27" x14ac:dyDescent="0.25">
      <c r="B306" s="364" t="s">
        <v>914</v>
      </c>
      <c r="C306" s="364" t="s">
        <v>1465</v>
      </c>
      <c r="D306" s="364" t="s">
        <v>1466</v>
      </c>
      <c r="E306" s="364" t="s">
        <v>1467</v>
      </c>
      <c r="F306" s="364">
        <v>1</v>
      </c>
      <c r="G306" s="364">
        <v>0</v>
      </c>
      <c r="H306" s="364">
        <v>0</v>
      </c>
      <c r="I306" s="364">
        <v>0</v>
      </c>
      <c r="J306" s="364">
        <v>0</v>
      </c>
      <c r="K306" s="364">
        <v>0</v>
      </c>
      <c r="L306" s="364">
        <v>0</v>
      </c>
      <c r="M306" s="364">
        <v>7</v>
      </c>
      <c r="N306" s="364">
        <v>35</v>
      </c>
      <c r="O306" s="364">
        <v>0</v>
      </c>
      <c r="P306" s="364">
        <v>0</v>
      </c>
      <c r="Q306" s="364">
        <v>0</v>
      </c>
      <c r="R306" s="364">
        <v>0</v>
      </c>
      <c r="S306" s="364">
        <v>0</v>
      </c>
      <c r="T306" s="364">
        <v>0</v>
      </c>
      <c r="U306" s="364">
        <v>0</v>
      </c>
      <c r="V306" s="364">
        <v>1</v>
      </c>
      <c r="W306" s="364">
        <v>35</v>
      </c>
      <c r="X306" s="364">
        <v>0</v>
      </c>
      <c r="Y306" s="364">
        <v>32140.78</v>
      </c>
      <c r="Z306" s="364"/>
      <c r="AA306" s="364"/>
    </row>
    <row r="307" spans="2:27" x14ac:dyDescent="0.25">
      <c r="B307" s="364" t="s">
        <v>914</v>
      </c>
      <c r="C307" s="364" t="s">
        <v>1468</v>
      </c>
      <c r="D307" s="364" t="s">
        <v>1469</v>
      </c>
      <c r="E307" s="364" t="s">
        <v>1470</v>
      </c>
      <c r="F307" s="364">
        <v>1</v>
      </c>
      <c r="G307" s="364">
        <v>0</v>
      </c>
      <c r="H307" s="364">
        <v>0</v>
      </c>
      <c r="I307" s="364">
        <v>0</v>
      </c>
      <c r="J307" s="364">
        <v>0</v>
      </c>
      <c r="K307" s="364">
        <v>0</v>
      </c>
      <c r="L307" s="364">
        <v>0</v>
      </c>
      <c r="M307" s="364">
        <v>7</v>
      </c>
      <c r="N307" s="364">
        <v>35</v>
      </c>
      <c r="O307" s="364">
        <v>0</v>
      </c>
      <c r="P307" s="364">
        <v>0</v>
      </c>
      <c r="Q307" s="364">
        <v>0</v>
      </c>
      <c r="R307" s="364">
        <v>0</v>
      </c>
      <c r="S307" s="364">
        <v>0</v>
      </c>
      <c r="T307" s="364">
        <v>0</v>
      </c>
      <c r="U307" s="364">
        <v>0</v>
      </c>
      <c r="V307" s="364">
        <v>1</v>
      </c>
      <c r="W307" s="364">
        <v>35</v>
      </c>
      <c r="X307" s="364">
        <v>0</v>
      </c>
      <c r="Y307" s="364">
        <v>32791.96</v>
      </c>
      <c r="Z307" s="364"/>
      <c r="AA307" s="364"/>
    </row>
    <row r="308" spans="2:27" x14ac:dyDescent="0.25">
      <c r="B308" s="364" t="s">
        <v>914</v>
      </c>
      <c r="C308" s="364" t="s">
        <v>1471</v>
      </c>
      <c r="D308" s="364" t="s">
        <v>1472</v>
      </c>
      <c r="E308" s="364" t="s">
        <v>1473</v>
      </c>
      <c r="F308" s="364">
        <v>1</v>
      </c>
      <c r="G308" s="364">
        <v>0</v>
      </c>
      <c r="H308" s="364">
        <v>0</v>
      </c>
      <c r="I308" s="364">
        <v>0</v>
      </c>
      <c r="J308" s="364">
        <v>0</v>
      </c>
      <c r="K308" s="364">
        <v>0</v>
      </c>
      <c r="L308" s="364">
        <v>0</v>
      </c>
      <c r="M308" s="364">
        <v>7</v>
      </c>
      <c r="N308" s="364">
        <v>35</v>
      </c>
      <c r="O308" s="364">
        <v>0</v>
      </c>
      <c r="P308" s="364">
        <v>0</v>
      </c>
      <c r="Q308" s="364">
        <v>0</v>
      </c>
      <c r="R308" s="364">
        <v>0</v>
      </c>
      <c r="S308" s="364">
        <v>0</v>
      </c>
      <c r="T308" s="364">
        <v>0</v>
      </c>
      <c r="U308" s="364">
        <v>0</v>
      </c>
      <c r="V308" s="364">
        <v>1</v>
      </c>
      <c r="W308" s="364">
        <v>35</v>
      </c>
      <c r="X308" s="364">
        <v>0</v>
      </c>
      <c r="Y308" s="364">
        <v>51389.1</v>
      </c>
      <c r="Z308" s="364"/>
      <c r="AA308" s="364"/>
    </row>
    <row r="309" spans="2:27" x14ac:dyDescent="0.25">
      <c r="B309" s="364" t="s">
        <v>914</v>
      </c>
      <c r="C309" s="364" t="s">
        <v>1474</v>
      </c>
      <c r="D309" s="364" t="s">
        <v>1475</v>
      </c>
      <c r="E309" s="364" t="s">
        <v>1476</v>
      </c>
      <c r="F309" s="364">
        <v>1</v>
      </c>
      <c r="G309" s="364">
        <v>0</v>
      </c>
      <c r="H309" s="364">
        <v>0</v>
      </c>
      <c r="I309" s="364">
        <v>0</v>
      </c>
      <c r="J309" s="364">
        <v>0</v>
      </c>
      <c r="K309" s="364">
        <v>0</v>
      </c>
      <c r="L309" s="364">
        <v>0</v>
      </c>
      <c r="M309" s="364">
        <v>7</v>
      </c>
      <c r="N309" s="364">
        <v>35</v>
      </c>
      <c r="O309" s="364">
        <v>0</v>
      </c>
      <c r="P309" s="364">
        <v>0</v>
      </c>
      <c r="Q309" s="364">
        <v>0</v>
      </c>
      <c r="R309" s="364">
        <v>0</v>
      </c>
      <c r="S309" s="364">
        <v>0</v>
      </c>
      <c r="T309" s="364">
        <v>0</v>
      </c>
      <c r="U309" s="364">
        <v>0</v>
      </c>
      <c r="V309" s="364">
        <v>1</v>
      </c>
      <c r="W309" s="364">
        <v>35</v>
      </c>
      <c r="X309" s="364">
        <v>0</v>
      </c>
      <c r="Y309" s="364">
        <v>51389.1</v>
      </c>
      <c r="Z309" s="364"/>
      <c r="AA309" s="364"/>
    </row>
    <row r="310" spans="2:27" x14ac:dyDescent="0.25">
      <c r="B310" s="364" t="s">
        <v>914</v>
      </c>
      <c r="C310" s="364" t="s">
        <v>1510</v>
      </c>
      <c r="D310" s="364" t="s">
        <v>1511</v>
      </c>
      <c r="E310" s="364" t="s">
        <v>1512</v>
      </c>
      <c r="F310" s="364">
        <v>1</v>
      </c>
      <c r="G310" s="364">
        <v>0</v>
      </c>
      <c r="H310" s="364">
        <v>0</v>
      </c>
      <c r="I310" s="364">
        <v>0</v>
      </c>
      <c r="J310" s="364">
        <v>0</v>
      </c>
      <c r="K310" s="364">
        <v>0</v>
      </c>
      <c r="L310" s="364">
        <v>0</v>
      </c>
      <c r="M310" s="364">
        <v>7</v>
      </c>
      <c r="N310" s="364">
        <v>35</v>
      </c>
      <c r="O310" s="364">
        <v>0</v>
      </c>
      <c r="P310" s="364">
        <v>0</v>
      </c>
      <c r="Q310" s="364">
        <v>0</v>
      </c>
      <c r="R310" s="364">
        <v>0</v>
      </c>
      <c r="S310" s="364">
        <v>0</v>
      </c>
      <c r="T310" s="364">
        <v>0</v>
      </c>
      <c r="U310" s="364">
        <v>0</v>
      </c>
      <c r="V310" s="364">
        <v>1</v>
      </c>
      <c r="W310" s="364">
        <v>35</v>
      </c>
      <c r="X310" s="364">
        <v>0</v>
      </c>
      <c r="Y310" s="364">
        <v>34460.67</v>
      </c>
      <c r="Z310" s="364"/>
      <c r="AA310" s="364"/>
    </row>
    <row r="311" spans="2:27" x14ac:dyDescent="0.25">
      <c r="B311" s="364" t="s">
        <v>914</v>
      </c>
      <c r="C311" s="364" t="s">
        <v>1513</v>
      </c>
      <c r="D311" s="364" t="s">
        <v>1514</v>
      </c>
      <c r="E311" s="364" t="s">
        <v>1515</v>
      </c>
      <c r="F311" s="364">
        <v>1</v>
      </c>
      <c r="G311" s="364">
        <v>0</v>
      </c>
      <c r="H311" s="364">
        <v>0</v>
      </c>
      <c r="I311" s="364">
        <v>0</v>
      </c>
      <c r="J311" s="364">
        <v>0</v>
      </c>
      <c r="K311" s="364">
        <v>0</v>
      </c>
      <c r="L311" s="364">
        <v>0</v>
      </c>
      <c r="M311" s="364">
        <v>7</v>
      </c>
      <c r="N311" s="364">
        <v>35</v>
      </c>
      <c r="O311" s="364">
        <v>0</v>
      </c>
      <c r="P311" s="364">
        <v>0</v>
      </c>
      <c r="Q311" s="364">
        <v>0</v>
      </c>
      <c r="R311" s="364">
        <v>0</v>
      </c>
      <c r="S311" s="364">
        <v>0</v>
      </c>
      <c r="T311" s="364">
        <v>0</v>
      </c>
      <c r="U311" s="364">
        <v>0</v>
      </c>
      <c r="V311" s="364">
        <v>1</v>
      </c>
      <c r="W311" s="364">
        <v>35</v>
      </c>
      <c r="X311" s="364">
        <v>0</v>
      </c>
      <c r="Y311" s="364">
        <v>34460.67</v>
      </c>
      <c r="Z311" s="364"/>
      <c r="AA311" s="364"/>
    </row>
    <row r="312" spans="2:27" x14ac:dyDescent="0.25">
      <c r="B312" s="364" t="s">
        <v>914</v>
      </c>
      <c r="C312" s="364" t="s">
        <v>1516</v>
      </c>
      <c r="D312" s="364" t="s">
        <v>1517</v>
      </c>
      <c r="E312" s="364" t="s">
        <v>1518</v>
      </c>
      <c r="F312" s="364">
        <v>1</v>
      </c>
      <c r="G312" s="364">
        <v>0</v>
      </c>
      <c r="H312" s="364">
        <v>0</v>
      </c>
      <c r="I312" s="364">
        <v>0</v>
      </c>
      <c r="J312" s="364">
        <v>0</v>
      </c>
      <c r="K312" s="364">
        <v>0</v>
      </c>
      <c r="L312" s="364">
        <v>0</v>
      </c>
      <c r="M312" s="364">
        <v>7</v>
      </c>
      <c r="N312" s="364">
        <v>35</v>
      </c>
      <c r="O312" s="364">
        <v>0</v>
      </c>
      <c r="P312" s="364">
        <v>0</v>
      </c>
      <c r="Q312" s="364">
        <v>0</v>
      </c>
      <c r="R312" s="364">
        <v>0</v>
      </c>
      <c r="S312" s="364">
        <v>0</v>
      </c>
      <c r="T312" s="364">
        <v>0</v>
      </c>
      <c r="U312" s="364">
        <v>0</v>
      </c>
      <c r="V312" s="364">
        <v>1</v>
      </c>
      <c r="W312" s="364">
        <v>35</v>
      </c>
      <c r="X312" s="364">
        <v>0</v>
      </c>
      <c r="Y312" s="364">
        <v>38537.72</v>
      </c>
      <c r="Z312" s="364"/>
      <c r="AA312" s="364"/>
    </row>
    <row r="313" spans="2:27" x14ac:dyDescent="0.25">
      <c r="B313" s="364" t="s">
        <v>914</v>
      </c>
      <c r="C313" s="364" t="s">
        <v>1522</v>
      </c>
      <c r="D313" s="364" t="s">
        <v>1523</v>
      </c>
      <c r="E313" s="364" t="s">
        <v>1524</v>
      </c>
      <c r="F313" s="364">
        <v>1</v>
      </c>
      <c r="G313" s="364">
        <v>0</v>
      </c>
      <c r="H313" s="364">
        <v>0</v>
      </c>
      <c r="I313" s="364">
        <v>0</v>
      </c>
      <c r="J313" s="364">
        <v>0</v>
      </c>
      <c r="K313" s="364">
        <v>0</v>
      </c>
      <c r="L313" s="364">
        <v>0</v>
      </c>
      <c r="M313" s="364">
        <v>7</v>
      </c>
      <c r="N313" s="364">
        <v>35</v>
      </c>
      <c r="O313" s="364">
        <v>0</v>
      </c>
      <c r="P313" s="364">
        <v>0</v>
      </c>
      <c r="Q313" s="364">
        <v>0</v>
      </c>
      <c r="R313" s="364">
        <v>0</v>
      </c>
      <c r="S313" s="364">
        <v>0</v>
      </c>
      <c r="T313" s="364">
        <v>0</v>
      </c>
      <c r="U313" s="364">
        <v>0</v>
      </c>
      <c r="V313" s="364">
        <v>1</v>
      </c>
      <c r="W313" s="364">
        <v>35</v>
      </c>
      <c r="X313" s="364">
        <v>0</v>
      </c>
      <c r="Y313" s="364">
        <v>34460.67</v>
      </c>
      <c r="Z313" s="364"/>
      <c r="AA313" s="364"/>
    </row>
    <row r="314" spans="2:27" x14ac:dyDescent="0.25">
      <c r="B314" s="364" t="s">
        <v>914</v>
      </c>
      <c r="C314" s="364" t="s">
        <v>1525</v>
      </c>
      <c r="D314" s="364" t="s">
        <v>1526</v>
      </c>
      <c r="E314" s="364" t="s">
        <v>1527</v>
      </c>
      <c r="F314" s="364">
        <v>1</v>
      </c>
      <c r="G314" s="364">
        <v>0</v>
      </c>
      <c r="H314" s="364">
        <v>0</v>
      </c>
      <c r="I314" s="364">
        <v>0</v>
      </c>
      <c r="J314" s="364">
        <v>0</v>
      </c>
      <c r="K314" s="364">
        <v>0</v>
      </c>
      <c r="L314" s="364">
        <v>0</v>
      </c>
      <c r="M314" s="364">
        <v>7</v>
      </c>
      <c r="N314" s="364">
        <v>35</v>
      </c>
      <c r="O314" s="364">
        <v>0</v>
      </c>
      <c r="P314" s="364">
        <v>0</v>
      </c>
      <c r="Q314" s="364">
        <v>0</v>
      </c>
      <c r="R314" s="364">
        <v>0</v>
      </c>
      <c r="S314" s="364">
        <v>0</v>
      </c>
      <c r="T314" s="364">
        <v>0</v>
      </c>
      <c r="U314" s="364">
        <v>0</v>
      </c>
      <c r="V314" s="364">
        <v>1</v>
      </c>
      <c r="W314" s="364">
        <v>35</v>
      </c>
      <c r="X314" s="364">
        <v>0</v>
      </c>
      <c r="Y314" s="364">
        <v>39267.050000000003</v>
      </c>
      <c r="Z314" s="364"/>
      <c r="AA314" s="364"/>
    </row>
    <row r="315" spans="2:27" x14ac:dyDescent="0.25">
      <c r="B315" s="364" t="s">
        <v>914</v>
      </c>
      <c r="C315" s="364" t="s">
        <v>1528</v>
      </c>
      <c r="D315" s="364" t="s">
        <v>1589</v>
      </c>
      <c r="E315" s="364" t="s">
        <v>1529</v>
      </c>
      <c r="F315" s="364">
        <v>1</v>
      </c>
      <c r="G315" s="364">
        <v>0</v>
      </c>
      <c r="H315" s="364">
        <v>0</v>
      </c>
      <c r="I315" s="364">
        <v>0</v>
      </c>
      <c r="J315" s="364">
        <v>0</v>
      </c>
      <c r="K315" s="364">
        <v>0</v>
      </c>
      <c r="L315" s="364">
        <v>0</v>
      </c>
      <c r="M315" s="364">
        <v>7</v>
      </c>
      <c r="N315" s="364">
        <v>35</v>
      </c>
      <c r="O315" s="364">
        <v>0</v>
      </c>
      <c r="P315" s="364">
        <v>0</v>
      </c>
      <c r="Q315" s="364">
        <v>0</v>
      </c>
      <c r="R315" s="364">
        <v>0</v>
      </c>
      <c r="S315" s="364">
        <v>0</v>
      </c>
      <c r="T315" s="364">
        <v>0</v>
      </c>
      <c r="U315" s="364">
        <v>0</v>
      </c>
      <c r="V315" s="364">
        <v>1</v>
      </c>
      <c r="W315" s="364">
        <v>35</v>
      </c>
      <c r="X315" s="364">
        <v>0</v>
      </c>
      <c r="Y315" s="364">
        <v>70163.490000000005</v>
      </c>
      <c r="Z315" s="364"/>
      <c r="AA315" s="364"/>
    </row>
    <row r="316" spans="2:27" x14ac:dyDescent="0.25">
      <c r="B316" s="364" t="s">
        <v>914</v>
      </c>
      <c r="C316" s="364" t="s">
        <v>1724</v>
      </c>
      <c r="D316" s="364" t="s">
        <v>1725</v>
      </c>
      <c r="E316" s="364" t="s">
        <v>1726</v>
      </c>
      <c r="F316" s="364">
        <v>1</v>
      </c>
      <c r="G316" s="364">
        <v>0</v>
      </c>
      <c r="H316" s="364">
        <v>0</v>
      </c>
      <c r="I316" s="364">
        <v>0</v>
      </c>
      <c r="J316" s="364">
        <v>0</v>
      </c>
      <c r="K316" s="364">
        <v>0</v>
      </c>
      <c r="L316" s="364">
        <v>0</v>
      </c>
      <c r="M316" s="364">
        <v>7</v>
      </c>
      <c r="N316" s="364">
        <v>35</v>
      </c>
      <c r="O316" s="364">
        <v>0</v>
      </c>
      <c r="P316" s="364">
        <v>0</v>
      </c>
      <c r="Q316" s="364">
        <v>0</v>
      </c>
      <c r="R316" s="364">
        <v>0</v>
      </c>
      <c r="S316" s="364">
        <v>0</v>
      </c>
      <c r="T316" s="364">
        <v>0</v>
      </c>
      <c r="U316" s="364">
        <v>0</v>
      </c>
      <c r="V316" s="364">
        <v>1</v>
      </c>
      <c r="W316" s="364">
        <v>35</v>
      </c>
      <c r="X316" s="364">
        <v>0</v>
      </c>
      <c r="Y316" s="364">
        <v>17480.75</v>
      </c>
      <c r="Z316" s="364"/>
      <c r="AA316" s="364"/>
    </row>
    <row r="317" spans="2:27" x14ac:dyDescent="0.25">
      <c r="B317" s="364" t="s">
        <v>914</v>
      </c>
      <c r="C317" s="364" t="s">
        <v>1590</v>
      </c>
      <c r="D317" s="364" t="s">
        <v>1591</v>
      </c>
      <c r="E317" s="364" t="s">
        <v>1592</v>
      </c>
      <c r="F317" s="364">
        <v>1</v>
      </c>
      <c r="G317" s="364">
        <v>0</v>
      </c>
      <c r="H317" s="364">
        <v>0</v>
      </c>
      <c r="I317" s="364">
        <v>0</v>
      </c>
      <c r="J317" s="364">
        <v>0</v>
      </c>
      <c r="K317" s="364">
        <v>0</v>
      </c>
      <c r="L317" s="364">
        <v>0</v>
      </c>
      <c r="M317" s="364">
        <v>7</v>
      </c>
      <c r="N317" s="364">
        <v>35</v>
      </c>
      <c r="O317" s="364">
        <v>0</v>
      </c>
      <c r="P317" s="364">
        <v>0</v>
      </c>
      <c r="Q317" s="364">
        <v>0</v>
      </c>
      <c r="R317" s="364">
        <v>0</v>
      </c>
      <c r="S317" s="364">
        <v>0</v>
      </c>
      <c r="T317" s="364">
        <v>0</v>
      </c>
      <c r="U317" s="364">
        <v>0</v>
      </c>
      <c r="V317" s="364">
        <v>1</v>
      </c>
      <c r="W317" s="364">
        <v>35</v>
      </c>
      <c r="X317" s="364">
        <v>0</v>
      </c>
      <c r="Y317" s="364">
        <v>37756.92</v>
      </c>
      <c r="Z317" s="364"/>
      <c r="AA317" s="364"/>
    </row>
    <row r="318" spans="2:27" x14ac:dyDescent="0.25">
      <c r="B318" s="364" t="s">
        <v>914</v>
      </c>
      <c r="C318" s="364" t="s">
        <v>1576</v>
      </c>
      <c r="D318" s="364" t="s">
        <v>1577</v>
      </c>
      <c r="E318" s="364" t="s">
        <v>1578</v>
      </c>
      <c r="F318" s="364">
        <v>1</v>
      </c>
      <c r="G318" s="364">
        <v>0</v>
      </c>
      <c r="H318" s="364">
        <v>0</v>
      </c>
      <c r="I318" s="364">
        <v>0</v>
      </c>
      <c r="J318" s="364">
        <v>0</v>
      </c>
      <c r="K318" s="364">
        <v>0</v>
      </c>
      <c r="L318" s="364">
        <v>0</v>
      </c>
      <c r="M318" s="364">
        <v>7</v>
      </c>
      <c r="N318" s="364">
        <v>35</v>
      </c>
      <c r="O318" s="364">
        <v>0</v>
      </c>
      <c r="P318" s="364">
        <v>0</v>
      </c>
      <c r="Q318" s="364">
        <v>0</v>
      </c>
      <c r="R318" s="364">
        <v>0</v>
      </c>
      <c r="S318" s="364">
        <v>0</v>
      </c>
      <c r="T318" s="364">
        <v>0</v>
      </c>
      <c r="U318" s="364">
        <v>0</v>
      </c>
      <c r="V318" s="364">
        <v>1</v>
      </c>
      <c r="W318" s="364">
        <v>35</v>
      </c>
      <c r="X318" s="364">
        <v>0</v>
      </c>
      <c r="Y318" s="364">
        <v>37756.92</v>
      </c>
      <c r="Z318" s="364"/>
      <c r="AA318" s="364"/>
    </row>
    <row r="319" spans="2:27" x14ac:dyDescent="0.25">
      <c r="B319" s="364" t="s">
        <v>914</v>
      </c>
      <c r="C319" s="364" t="s">
        <v>1593</v>
      </c>
      <c r="D319" s="364" t="s">
        <v>1594</v>
      </c>
      <c r="E319" s="364" t="s">
        <v>1595</v>
      </c>
      <c r="F319" s="364">
        <v>1</v>
      </c>
      <c r="G319" s="364">
        <v>0</v>
      </c>
      <c r="H319" s="364">
        <v>0</v>
      </c>
      <c r="I319" s="364">
        <v>0</v>
      </c>
      <c r="J319" s="364">
        <v>0</v>
      </c>
      <c r="K319" s="364">
        <v>0</v>
      </c>
      <c r="L319" s="364">
        <v>0</v>
      </c>
      <c r="M319" s="364">
        <v>7</v>
      </c>
      <c r="N319" s="364">
        <v>35</v>
      </c>
      <c r="O319" s="364">
        <v>0</v>
      </c>
      <c r="P319" s="364">
        <v>0</v>
      </c>
      <c r="Q319" s="364">
        <v>0</v>
      </c>
      <c r="R319" s="364">
        <v>0</v>
      </c>
      <c r="S319" s="364">
        <v>0</v>
      </c>
      <c r="T319" s="364">
        <v>0</v>
      </c>
      <c r="U319" s="364">
        <v>0</v>
      </c>
      <c r="V319" s="364">
        <v>1</v>
      </c>
      <c r="W319" s="364">
        <v>35</v>
      </c>
      <c r="X319" s="364">
        <v>0</v>
      </c>
      <c r="Y319" s="364">
        <v>37756.92</v>
      </c>
      <c r="Z319" s="364"/>
      <c r="AA319" s="364"/>
    </row>
    <row r="320" spans="2:27" x14ac:dyDescent="0.25">
      <c r="B320" s="364" t="s">
        <v>914</v>
      </c>
      <c r="C320" s="364" t="s">
        <v>1582</v>
      </c>
      <c r="D320" s="364" t="s">
        <v>1583</v>
      </c>
      <c r="E320" s="364" t="s">
        <v>1596</v>
      </c>
      <c r="F320" s="364">
        <v>1</v>
      </c>
      <c r="G320" s="364">
        <v>0</v>
      </c>
      <c r="H320" s="364">
        <v>0</v>
      </c>
      <c r="I320" s="364">
        <v>0</v>
      </c>
      <c r="J320" s="364">
        <v>0</v>
      </c>
      <c r="K320" s="364">
        <v>0</v>
      </c>
      <c r="L320" s="364">
        <v>0</v>
      </c>
      <c r="M320" s="364">
        <v>7</v>
      </c>
      <c r="N320" s="364">
        <v>35</v>
      </c>
      <c r="O320" s="364">
        <v>0</v>
      </c>
      <c r="P320" s="364">
        <v>0</v>
      </c>
      <c r="Q320" s="364">
        <v>0</v>
      </c>
      <c r="R320" s="364">
        <v>0</v>
      </c>
      <c r="S320" s="364">
        <v>0</v>
      </c>
      <c r="T320" s="364">
        <v>0</v>
      </c>
      <c r="U320" s="364">
        <v>0</v>
      </c>
      <c r="V320" s="364">
        <v>1</v>
      </c>
      <c r="W320" s="364">
        <v>35</v>
      </c>
      <c r="X320" s="364">
        <v>0</v>
      </c>
      <c r="Y320" s="364">
        <v>37756.92</v>
      </c>
      <c r="Z320" s="364"/>
      <c r="AA320" s="364"/>
    </row>
    <row r="321" spans="2:27" x14ac:dyDescent="0.25">
      <c r="B321" s="364" t="s">
        <v>914</v>
      </c>
      <c r="C321" s="364" t="s">
        <v>1579</v>
      </c>
      <c r="D321" s="364" t="s">
        <v>1580</v>
      </c>
      <c r="E321" s="364" t="s">
        <v>1581</v>
      </c>
      <c r="F321" s="364">
        <v>1</v>
      </c>
      <c r="G321" s="364">
        <v>0</v>
      </c>
      <c r="H321" s="364">
        <v>0</v>
      </c>
      <c r="I321" s="364">
        <v>0</v>
      </c>
      <c r="J321" s="364">
        <v>0</v>
      </c>
      <c r="K321" s="364">
        <v>0</v>
      </c>
      <c r="L321" s="364">
        <v>0</v>
      </c>
      <c r="M321" s="364">
        <v>7</v>
      </c>
      <c r="N321" s="364">
        <v>35</v>
      </c>
      <c r="O321" s="364">
        <v>0</v>
      </c>
      <c r="P321" s="364">
        <v>0</v>
      </c>
      <c r="Q321" s="364">
        <v>0</v>
      </c>
      <c r="R321" s="364">
        <v>0</v>
      </c>
      <c r="S321" s="364">
        <v>0</v>
      </c>
      <c r="T321" s="364">
        <v>0</v>
      </c>
      <c r="U321" s="364">
        <v>0</v>
      </c>
      <c r="V321" s="364">
        <v>1</v>
      </c>
      <c r="W321" s="364">
        <v>35</v>
      </c>
      <c r="X321" s="364">
        <v>0</v>
      </c>
      <c r="Y321" s="364">
        <v>37756.92</v>
      </c>
      <c r="Z321" s="364"/>
      <c r="AA321" s="364"/>
    </row>
    <row r="322" spans="2:27" x14ac:dyDescent="0.25">
      <c r="B322" s="364" t="s">
        <v>914</v>
      </c>
      <c r="C322" s="364" t="s">
        <v>1597</v>
      </c>
      <c r="D322" s="364" t="s">
        <v>1598</v>
      </c>
      <c r="E322" s="364" t="s">
        <v>1599</v>
      </c>
      <c r="F322" s="364">
        <v>1</v>
      </c>
      <c r="G322" s="364">
        <v>0</v>
      </c>
      <c r="H322" s="364">
        <v>0</v>
      </c>
      <c r="I322" s="364">
        <v>0</v>
      </c>
      <c r="J322" s="364">
        <v>0</v>
      </c>
      <c r="K322" s="364">
        <v>0</v>
      </c>
      <c r="L322" s="364">
        <v>0</v>
      </c>
      <c r="M322" s="364">
        <v>7</v>
      </c>
      <c r="N322" s="364">
        <v>35</v>
      </c>
      <c r="O322" s="364">
        <v>0</v>
      </c>
      <c r="P322" s="364">
        <v>0</v>
      </c>
      <c r="Q322" s="364">
        <v>0</v>
      </c>
      <c r="R322" s="364">
        <v>0</v>
      </c>
      <c r="S322" s="364">
        <v>0</v>
      </c>
      <c r="T322" s="364">
        <v>0</v>
      </c>
      <c r="U322" s="364">
        <v>0</v>
      </c>
      <c r="V322" s="364">
        <v>1</v>
      </c>
      <c r="W322" s="364">
        <v>35</v>
      </c>
      <c r="X322" s="364">
        <v>0</v>
      </c>
      <c r="Y322" s="364">
        <v>51389.1</v>
      </c>
      <c r="Z322" s="364"/>
      <c r="AA322" s="364"/>
    </row>
    <row r="323" spans="2:27" x14ac:dyDescent="0.25">
      <c r="B323" s="364" t="s">
        <v>914</v>
      </c>
      <c r="C323" s="364" t="s">
        <v>1570</v>
      </c>
      <c r="D323" s="364" t="s">
        <v>1571</v>
      </c>
      <c r="E323" s="364" t="s">
        <v>1572</v>
      </c>
      <c r="F323" s="364">
        <v>1</v>
      </c>
      <c r="G323" s="364">
        <v>0</v>
      </c>
      <c r="H323" s="364">
        <v>0</v>
      </c>
      <c r="I323" s="364">
        <v>0</v>
      </c>
      <c r="J323" s="364">
        <v>0</v>
      </c>
      <c r="K323" s="364">
        <v>0</v>
      </c>
      <c r="L323" s="364">
        <v>0</v>
      </c>
      <c r="M323" s="364">
        <v>7</v>
      </c>
      <c r="N323" s="364">
        <v>35</v>
      </c>
      <c r="O323" s="364">
        <v>0</v>
      </c>
      <c r="P323" s="364">
        <v>0</v>
      </c>
      <c r="Q323" s="364">
        <v>0</v>
      </c>
      <c r="R323" s="364">
        <v>0</v>
      </c>
      <c r="S323" s="364">
        <v>0</v>
      </c>
      <c r="T323" s="364">
        <v>0</v>
      </c>
      <c r="U323" s="364">
        <v>0</v>
      </c>
      <c r="V323" s="364">
        <v>1</v>
      </c>
      <c r="W323" s="364">
        <v>35</v>
      </c>
      <c r="X323" s="364">
        <v>0</v>
      </c>
      <c r="Y323" s="364">
        <v>38537.72</v>
      </c>
      <c r="Z323" s="364"/>
      <c r="AA323" s="364"/>
    </row>
    <row r="324" spans="2:27" x14ac:dyDescent="0.25">
      <c r="B324" s="364" t="s">
        <v>914</v>
      </c>
      <c r="C324" s="364" t="s">
        <v>1477</v>
      </c>
      <c r="D324" s="364" t="s">
        <v>1478</v>
      </c>
      <c r="E324" s="364" t="s">
        <v>1603</v>
      </c>
      <c r="F324" s="364">
        <v>1</v>
      </c>
      <c r="G324" s="364">
        <v>0</v>
      </c>
      <c r="H324" s="364">
        <v>0</v>
      </c>
      <c r="I324" s="364">
        <v>0</v>
      </c>
      <c r="J324" s="364">
        <v>0</v>
      </c>
      <c r="K324" s="364">
        <v>0</v>
      </c>
      <c r="L324" s="364">
        <v>0</v>
      </c>
      <c r="M324" s="364">
        <v>7</v>
      </c>
      <c r="N324" s="364">
        <v>35</v>
      </c>
      <c r="O324" s="364">
        <v>0</v>
      </c>
      <c r="P324" s="364">
        <v>0</v>
      </c>
      <c r="Q324" s="364">
        <v>0</v>
      </c>
      <c r="R324" s="364">
        <v>0</v>
      </c>
      <c r="S324" s="364">
        <v>0</v>
      </c>
      <c r="T324" s="364">
        <v>0</v>
      </c>
      <c r="U324" s="364">
        <v>0</v>
      </c>
      <c r="V324" s="364">
        <v>1</v>
      </c>
      <c r="W324" s="364">
        <v>35</v>
      </c>
      <c r="X324" s="364">
        <v>0</v>
      </c>
      <c r="Y324" s="364">
        <v>38537.72</v>
      </c>
      <c r="Z324" s="364"/>
      <c r="AA324" s="364"/>
    </row>
    <row r="325" spans="2:27" x14ac:dyDescent="0.25">
      <c r="B325" s="364" t="s">
        <v>914</v>
      </c>
      <c r="C325" s="364" t="s">
        <v>1604</v>
      </c>
      <c r="D325" s="364" t="s">
        <v>1605</v>
      </c>
      <c r="E325" s="364" t="s">
        <v>1606</v>
      </c>
      <c r="F325" s="364">
        <v>1</v>
      </c>
      <c r="G325" s="364">
        <v>0</v>
      </c>
      <c r="H325" s="364">
        <v>0</v>
      </c>
      <c r="I325" s="364">
        <v>0</v>
      </c>
      <c r="J325" s="364">
        <v>0</v>
      </c>
      <c r="K325" s="364">
        <v>0</v>
      </c>
      <c r="L325" s="364">
        <v>0</v>
      </c>
      <c r="M325" s="364">
        <v>7</v>
      </c>
      <c r="N325" s="364">
        <v>35</v>
      </c>
      <c r="O325" s="364">
        <v>0</v>
      </c>
      <c r="P325" s="364">
        <v>0</v>
      </c>
      <c r="Q325" s="364">
        <v>0</v>
      </c>
      <c r="R325" s="364">
        <v>0</v>
      </c>
      <c r="S325" s="364">
        <v>0</v>
      </c>
      <c r="T325" s="364">
        <v>0</v>
      </c>
      <c r="U325" s="364">
        <v>0</v>
      </c>
      <c r="V325" s="364">
        <v>1</v>
      </c>
      <c r="W325" s="364">
        <v>35</v>
      </c>
      <c r="X325" s="364">
        <v>0</v>
      </c>
      <c r="Y325" s="364">
        <v>38537.72</v>
      </c>
      <c r="Z325" s="364"/>
      <c r="AA325" s="364"/>
    </row>
    <row r="326" spans="2:27" x14ac:dyDescent="0.25">
      <c r="B326" s="364" t="s">
        <v>914</v>
      </c>
      <c r="C326" s="364" t="s">
        <v>1443</v>
      </c>
      <c r="D326" s="364" t="s">
        <v>1444</v>
      </c>
      <c r="E326" s="364" t="s">
        <v>1445</v>
      </c>
      <c r="F326" s="364">
        <v>1</v>
      </c>
      <c r="G326" s="364">
        <v>0</v>
      </c>
      <c r="H326" s="364">
        <v>0</v>
      </c>
      <c r="I326" s="364">
        <v>0</v>
      </c>
      <c r="J326" s="364">
        <v>0</v>
      </c>
      <c r="K326" s="364">
        <v>0</v>
      </c>
      <c r="L326" s="364">
        <v>0</v>
      </c>
      <c r="M326" s="364">
        <v>7</v>
      </c>
      <c r="N326" s="364">
        <v>35</v>
      </c>
      <c r="O326" s="364">
        <v>0</v>
      </c>
      <c r="P326" s="364">
        <v>0</v>
      </c>
      <c r="Q326" s="364">
        <v>0</v>
      </c>
      <c r="R326" s="364">
        <v>0</v>
      </c>
      <c r="S326" s="364">
        <v>0</v>
      </c>
      <c r="T326" s="364">
        <v>0</v>
      </c>
      <c r="U326" s="364">
        <v>0</v>
      </c>
      <c r="V326" s="364">
        <v>1</v>
      </c>
      <c r="W326" s="364">
        <v>35</v>
      </c>
      <c r="X326" s="364">
        <v>0</v>
      </c>
      <c r="Y326" s="364">
        <v>38537.72</v>
      </c>
      <c r="Z326" s="364"/>
      <c r="AA326" s="364"/>
    </row>
    <row r="327" spans="2:27" x14ac:dyDescent="0.25">
      <c r="B327" s="364" t="s">
        <v>914</v>
      </c>
      <c r="C327" s="364" t="s">
        <v>1607</v>
      </c>
      <c r="D327" s="364" t="s">
        <v>1608</v>
      </c>
      <c r="E327" s="364" t="s">
        <v>1609</v>
      </c>
      <c r="F327" s="364">
        <v>1</v>
      </c>
      <c r="G327" s="364">
        <v>0</v>
      </c>
      <c r="H327" s="364">
        <v>0</v>
      </c>
      <c r="I327" s="364">
        <v>0</v>
      </c>
      <c r="J327" s="364">
        <v>0</v>
      </c>
      <c r="K327" s="364">
        <v>0</v>
      </c>
      <c r="L327" s="364">
        <v>0</v>
      </c>
      <c r="M327" s="364">
        <v>7</v>
      </c>
      <c r="N327" s="364">
        <v>35</v>
      </c>
      <c r="O327" s="364">
        <v>0</v>
      </c>
      <c r="P327" s="364">
        <v>0</v>
      </c>
      <c r="Q327" s="364">
        <v>0</v>
      </c>
      <c r="R327" s="364">
        <v>0</v>
      </c>
      <c r="S327" s="364">
        <v>0</v>
      </c>
      <c r="T327" s="364">
        <v>0</v>
      </c>
      <c r="U327" s="364">
        <v>0</v>
      </c>
      <c r="V327" s="364">
        <v>1</v>
      </c>
      <c r="W327" s="364">
        <v>35</v>
      </c>
      <c r="X327" s="364">
        <v>0</v>
      </c>
      <c r="Y327" s="364">
        <v>38537.72</v>
      </c>
      <c r="Z327" s="364"/>
      <c r="AA327" s="364"/>
    </row>
    <row r="328" spans="2:27" x14ac:dyDescent="0.25">
      <c r="B328" s="364" t="s">
        <v>914</v>
      </c>
      <c r="C328" s="364" t="s">
        <v>1610</v>
      </c>
      <c r="D328" s="364" t="s">
        <v>1611</v>
      </c>
      <c r="E328" s="364" t="s">
        <v>1612</v>
      </c>
      <c r="F328" s="364">
        <v>1</v>
      </c>
      <c r="G328" s="364">
        <v>0</v>
      </c>
      <c r="H328" s="364">
        <v>0</v>
      </c>
      <c r="I328" s="364">
        <v>0</v>
      </c>
      <c r="J328" s="364">
        <v>0</v>
      </c>
      <c r="K328" s="364">
        <v>0</v>
      </c>
      <c r="L328" s="364">
        <v>0</v>
      </c>
      <c r="M328" s="364">
        <v>7</v>
      </c>
      <c r="N328" s="364">
        <v>35</v>
      </c>
      <c r="O328" s="364">
        <v>0</v>
      </c>
      <c r="P328" s="364">
        <v>0</v>
      </c>
      <c r="Q328" s="364">
        <v>0</v>
      </c>
      <c r="R328" s="364">
        <v>0</v>
      </c>
      <c r="S328" s="364">
        <v>0</v>
      </c>
      <c r="T328" s="364">
        <v>0</v>
      </c>
      <c r="U328" s="364">
        <v>0</v>
      </c>
      <c r="V328" s="364">
        <v>1</v>
      </c>
      <c r="W328" s="364">
        <v>35</v>
      </c>
      <c r="X328" s="364">
        <v>0</v>
      </c>
      <c r="Y328" s="364">
        <v>32140.78</v>
      </c>
      <c r="Z328" s="364"/>
      <c r="AA328" s="364"/>
    </row>
    <row r="329" spans="2:27" x14ac:dyDescent="0.25">
      <c r="B329" s="364" t="s">
        <v>914</v>
      </c>
      <c r="C329" s="364" t="s">
        <v>1615</v>
      </c>
      <c r="D329" s="364" t="s">
        <v>1616</v>
      </c>
      <c r="E329" s="364" t="s">
        <v>1617</v>
      </c>
      <c r="F329" s="364">
        <v>1</v>
      </c>
      <c r="G329" s="364">
        <v>0</v>
      </c>
      <c r="H329" s="364">
        <v>0</v>
      </c>
      <c r="I329" s="364">
        <v>0</v>
      </c>
      <c r="J329" s="364">
        <v>0</v>
      </c>
      <c r="K329" s="364">
        <v>0</v>
      </c>
      <c r="L329" s="364">
        <v>0</v>
      </c>
      <c r="M329" s="364">
        <v>7</v>
      </c>
      <c r="N329" s="364">
        <v>35</v>
      </c>
      <c r="O329" s="364">
        <v>0</v>
      </c>
      <c r="P329" s="364">
        <v>0</v>
      </c>
      <c r="Q329" s="364">
        <v>0</v>
      </c>
      <c r="R329" s="364">
        <v>0</v>
      </c>
      <c r="S329" s="364">
        <v>0</v>
      </c>
      <c r="T329" s="364">
        <v>0</v>
      </c>
      <c r="U329" s="364">
        <v>0</v>
      </c>
      <c r="V329" s="364">
        <v>1</v>
      </c>
      <c r="W329" s="364">
        <v>35</v>
      </c>
      <c r="X329" s="364">
        <v>0</v>
      </c>
      <c r="Y329" s="364">
        <v>37756.92</v>
      </c>
      <c r="Z329" s="364"/>
      <c r="AA329" s="364"/>
    </row>
    <row r="330" spans="2:27" x14ac:dyDescent="0.25">
      <c r="B330" s="364" t="s">
        <v>914</v>
      </c>
      <c r="C330" s="364" t="s">
        <v>1618</v>
      </c>
      <c r="D330" s="364" t="s">
        <v>1619</v>
      </c>
      <c r="E330" s="364" t="s">
        <v>1620</v>
      </c>
      <c r="F330" s="364">
        <v>1</v>
      </c>
      <c r="G330" s="364">
        <v>0</v>
      </c>
      <c r="H330" s="364">
        <v>0</v>
      </c>
      <c r="I330" s="364">
        <v>0</v>
      </c>
      <c r="J330" s="364">
        <v>0</v>
      </c>
      <c r="K330" s="364">
        <v>0</v>
      </c>
      <c r="L330" s="364">
        <v>0</v>
      </c>
      <c r="M330" s="364">
        <v>7</v>
      </c>
      <c r="N330" s="364">
        <v>35</v>
      </c>
      <c r="O330" s="364">
        <v>0</v>
      </c>
      <c r="P330" s="364">
        <v>0</v>
      </c>
      <c r="Q330" s="364">
        <v>0</v>
      </c>
      <c r="R330" s="364">
        <v>0</v>
      </c>
      <c r="S330" s="364">
        <v>0</v>
      </c>
      <c r="T330" s="364">
        <v>0</v>
      </c>
      <c r="U330" s="364">
        <v>0</v>
      </c>
      <c r="V330" s="364">
        <v>1</v>
      </c>
      <c r="W330" s="364">
        <v>35</v>
      </c>
      <c r="X330" s="364">
        <v>0</v>
      </c>
      <c r="Y330" s="364">
        <v>38537.72</v>
      </c>
      <c r="Z330" s="364"/>
      <c r="AA330" s="364"/>
    </row>
    <row r="331" spans="2:27" x14ac:dyDescent="0.25">
      <c r="B331" s="364" t="s">
        <v>914</v>
      </c>
      <c r="C331" s="364" t="s">
        <v>1623</v>
      </c>
      <c r="D331" s="364" t="s">
        <v>1624</v>
      </c>
      <c r="E331" s="364" t="s">
        <v>1625</v>
      </c>
      <c r="F331" s="364">
        <v>1</v>
      </c>
      <c r="G331" s="364">
        <v>0</v>
      </c>
      <c r="H331" s="364">
        <v>0</v>
      </c>
      <c r="I331" s="364">
        <v>0</v>
      </c>
      <c r="J331" s="364">
        <v>0</v>
      </c>
      <c r="K331" s="364">
        <v>0</v>
      </c>
      <c r="L331" s="364">
        <v>0</v>
      </c>
      <c r="M331" s="364">
        <v>7</v>
      </c>
      <c r="N331" s="364">
        <v>35</v>
      </c>
      <c r="O331" s="364">
        <v>0</v>
      </c>
      <c r="P331" s="364">
        <v>0</v>
      </c>
      <c r="Q331" s="364">
        <v>0</v>
      </c>
      <c r="R331" s="364">
        <v>0</v>
      </c>
      <c r="S331" s="364">
        <v>0</v>
      </c>
      <c r="T331" s="364">
        <v>0</v>
      </c>
      <c r="U331" s="364">
        <v>0</v>
      </c>
      <c r="V331" s="364">
        <v>1</v>
      </c>
      <c r="W331" s="364">
        <v>35</v>
      </c>
      <c r="X331" s="364">
        <v>0</v>
      </c>
      <c r="Y331" s="364">
        <v>38537.72</v>
      </c>
      <c r="Z331" s="364"/>
      <c r="AA331" s="364"/>
    </row>
    <row r="332" spans="2:27" x14ac:dyDescent="0.25">
      <c r="B332" s="364" t="s">
        <v>914</v>
      </c>
      <c r="C332" s="364" t="s">
        <v>1626</v>
      </c>
      <c r="D332" s="364" t="s">
        <v>1627</v>
      </c>
      <c r="E332" s="364" t="s">
        <v>1628</v>
      </c>
      <c r="F332" s="364">
        <v>1</v>
      </c>
      <c r="G332" s="364">
        <v>0</v>
      </c>
      <c r="H332" s="364">
        <v>0</v>
      </c>
      <c r="I332" s="364">
        <v>0</v>
      </c>
      <c r="J332" s="364">
        <v>0</v>
      </c>
      <c r="K332" s="364">
        <v>0</v>
      </c>
      <c r="L332" s="364">
        <v>0</v>
      </c>
      <c r="M332" s="364">
        <v>7</v>
      </c>
      <c r="N332" s="364">
        <v>35</v>
      </c>
      <c r="O332" s="364">
        <v>0</v>
      </c>
      <c r="P332" s="364">
        <v>0</v>
      </c>
      <c r="Q332" s="364">
        <v>0</v>
      </c>
      <c r="R332" s="364">
        <v>0</v>
      </c>
      <c r="S332" s="364">
        <v>0</v>
      </c>
      <c r="T332" s="364">
        <v>0</v>
      </c>
      <c r="U332" s="364">
        <v>0</v>
      </c>
      <c r="V332" s="364">
        <v>1</v>
      </c>
      <c r="W332" s="364">
        <v>35</v>
      </c>
      <c r="X332" s="364">
        <v>0</v>
      </c>
      <c r="Y332" s="364">
        <v>38537.72</v>
      </c>
      <c r="Z332" s="364"/>
      <c r="AA332" s="364"/>
    </row>
    <row r="333" spans="2:27" x14ac:dyDescent="0.25">
      <c r="B333" s="364" t="s">
        <v>914</v>
      </c>
      <c r="C333" s="364" t="s">
        <v>1631</v>
      </c>
      <c r="D333" s="364" t="s">
        <v>1632</v>
      </c>
      <c r="E333" s="364" t="s">
        <v>1633</v>
      </c>
      <c r="F333" s="364">
        <v>1</v>
      </c>
      <c r="G333" s="364">
        <v>0</v>
      </c>
      <c r="H333" s="364">
        <v>0</v>
      </c>
      <c r="I333" s="364">
        <v>0</v>
      </c>
      <c r="J333" s="364">
        <v>0</v>
      </c>
      <c r="K333" s="364">
        <v>0</v>
      </c>
      <c r="L333" s="364">
        <v>0</v>
      </c>
      <c r="M333" s="364">
        <v>7</v>
      </c>
      <c r="N333" s="364">
        <v>35</v>
      </c>
      <c r="O333" s="364">
        <v>0</v>
      </c>
      <c r="P333" s="364">
        <v>0</v>
      </c>
      <c r="Q333" s="364">
        <v>0</v>
      </c>
      <c r="R333" s="364">
        <v>0</v>
      </c>
      <c r="S333" s="364">
        <v>0</v>
      </c>
      <c r="T333" s="364">
        <v>0</v>
      </c>
      <c r="U333" s="364">
        <v>0</v>
      </c>
      <c r="V333" s="364">
        <v>1</v>
      </c>
      <c r="W333" s="364">
        <v>35</v>
      </c>
      <c r="X333" s="364">
        <v>0</v>
      </c>
      <c r="Y333" s="364">
        <v>38537.72</v>
      </c>
      <c r="Z333" s="364"/>
      <c r="AA333" s="364"/>
    </row>
    <row r="334" spans="2:27" x14ac:dyDescent="0.25">
      <c r="B334" s="364" t="s">
        <v>914</v>
      </c>
      <c r="C334" s="364" t="s">
        <v>1446</v>
      </c>
      <c r="D334" s="364" t="s">
        <v>1447</v>
      </c>
      <c r="E334" s="364" t="s">
        <v>1448</v>
      </c>
      <c r="F334" s="364">
        <v>1</v>
      </c>
      <c r="G334" s="364">
        <v>0</v>
      </c>
      <c r="H334" s="364">
        <v>0</v>
      </c>
      <c r="I334" s="364">
        <v>0</v>
      </c>
      <c r="J334" s="364">
        <v>0</v>
      </c>
      <c r="K334" s="364">
        <v>0</v>
      </c>
      <c r="L334" s="364">
        <v>0</v>
      </c>
      <c r="M334" s="364">
        <v>7</v>
      </c>
      <c r="N334" s="364">
        <v>35</v>
      </c>
      <c r="O334" s="364">
        <v>0</v>
      </c>
      <c r="P334" s="364">
        <v>0</v>
      </c>
      <c r="Q334" s="364">
        <v>0</v>
      </c>
      <c r="R334" s="364">
        <v>0</v>
      </c>
      <c r="S334" s="364">
        <v>0</v>
      </c>
      <c r="T334" s="364">
        <v>0</v>
      </c>
      <c r="U334" s="364">
        <v>0</v>
      </c>
      <c r="V334" s="364">
        <v>1</v>
      </c>
      <c r="W334" s="364">
        <v>35</v>
      </c>
      <c r="X334" s="364">
        <v>0</v>
      </c>
      <c r="Y334" s="364">
        <v>38537.72</v>
      </c>
      <c r="Z334" s="364"/>
      <c r="AA334" s="364"/>
    </row>
    <row r="335" spans="2:27" x14ac:dyDescent="0.25">
      <c r="B335" s="364" t="s">
        <v>914</v>
      </c>
      <c r="C335" s="364" t="s">
        <v>1634</v>
      </c>
      <c r="D335" s="364" t="s">
        <v>1635</v>
      </c>
      <c r="E335" s="364" t="s">
        <v>1636</v>
      </c>
      <c r="F335" s="364">
        <v>1</v>
      </c>
      <c r="G335" s="364">
        <v>0</v>
      </c>
      <c r="H335" s="364">
        <v>0</v>
      </c>
      <c r="I335" s="364">
        <v>0</v>
      </c>
      <c r="J335" s="364">
        <v>0</v>
      </c>
      <c r="K335" s="364">
        <v>0</v>
      </c>
      <c r="L335" s="364">
        <v>0</v>
      </c>
      <c r="M335" s="364">
        <v>7</v>
      </c>
      <c r="N335" s="364">
        <v>35</v>
      </c>
      <c r="O335" s="364">
        <v>0</v>
      </c>
      <c r="P335" s="364">
        <v>0</v>
      </c>
      <c r="Q335" s="364">
        <v>0</v>
      </c>
      <c r="R335" s="364">
        <v>0</v>
      </c>
      <c r="S335" s="364">
        <v>0</v>
      </c>
      <c r="T335" s="364">
        <v>0</v>
      </c>
      <c r="U335" s="364">
        <v>0</v>
      </c>
      <c r="V335" s="364">
        <v>1</v>
      </c>
      <c r="W335" s="364">
        <v>35</v>
      </c>
      <c r="X335" s="364">
        <v>0</v>
      </c>
      <c r="Y335" s="364">
        <v>38537.72</v>
      </c>
      <c r="Z335" s="364"/>
      <c r="AA335" s="364"/>
    </row>
    <row r="336" spans="2:27" x14ac:dyDescent="0.25">
      <c r="B336" s="364" t="s">
        <v>914</v>
      </c>
      <c r="C336" s="364" t="s">
        <v>1637</v>
      </c>
      <c r="D336" s="364" t="s">
        <v>1638</v>
      </c>
      <c r="E336" s="364" t="s">
        <v>1639</v>
      </c>
      <c r="F336" s="364">
        <v>1</v>
      </c>
      <c r="G336" s="364">
        <v>0</v>
      </c>
      <c r="H336" s="364">
        <v>0</v>
      </c>
      <c r="I336" s="364">
        <v>0</v>
      </c>
      <c r="J336" s="364">
        <v>0</v>
      </c>
      <c r="K336" s="364">
        <v>0</v>
      </c>
      <c r="L336" s="364">
        <v>0</v>
      </c>
      <c r="M336" s="364">
        <v>7</v>
      </c>
      <c r="N336" s="364">
        <v>35</v>
      </c>
      <c r="O336" s="364">
        <v>0</v>
      </c>
      <c r="P336" s="364">
        <v>0</v>
      </c>
      <c r="Q336" s="364">
        <v>0</v>
      </c>
      <c r="R336" s="364">
        <v>0</v>
      </c>
      <c r="S336" s="364">
        <v>0</v>
      </c>
      <c r="T336" s="364">
        <v>0</v>
      </c>
      <c r="U336" s="364">
        <v>0</v>
      </c>
      <c r="V336" s="364">
        <v>1</v>
      </c>
      <c r="W336" s="364">
        <v>35</v>
      </c>
      <c r="X336" s="364">
        <v>0</v>
      </c>
      <c r="Y336" s="364">
        <v>32791.96</v>
      </c>
      <c r="Z336" s="364"/>
      <c r="AA336" s="364"/>
    </row>
    <row r="337" spans="2:27" x14ac:dyDescent="0.25">
      <c r="B337" s="364" t="s">
        <v>914</v>
      </c>
      <c r="C337" s="364" t="s">
        <v>1573</v>
      </c>
      <c r="D337" s="364" t="s">
        <v>1574</v>
      </c>
      <c r="E337" s="364" t="s">
        <v>1575</v>
      </c>
      <c r="F337" s="364">
        <v>1</v>
      </c>
      <c r="G337" s="364">
        <v>0</v>
      </c>
      <c r="H337" s="364">
        <v>0</v>
      </c>
      <c r="I337" s="364">
        <v>0</v>
      </c>
      <c r="J337" s="364">
        <v>0</v>
      </c>
      <c r="K337" s="364">
        <v>0</v>
      </c>
      <c r="L337" s="364">
        <v>0</v>
      </c>
      <c r="M337" s="364">
        <v>7</v>
      </c>
      <c r="N337" s="364">
        <v>35</v>
      </c>
      <c r="O337" s="364">
        <v>0</v>
      </c>
      <c r="P337" s="364">
        <v>0</v>
      </c>
      <c r="Q337" s="364">
        <v>0</v>
      </c>
      <c r="R337" s="364">
        <v>0</v>
      </c>
      <c r="S337" s="364">
        <v>0</v>
      </c>
      <c r="T337" s="364">
        <v>0</v>
      </c>
      <c r="U337" s="364">
        <v>0</v>
      </c>
      <c r="V337" s="364">
        <v>1</v>
      </c>
      <c r="W337" s="364">
        <v>35</v>
      </c>
      <c r="X337" s="364">
        <v>0</v>
      </c>
      <c r="Y337" s="364">
        <v>32791.96</v>
      </c>
      <c r="Z337" s="364"/>
      <c r="AA337" s="364"/>
    </row>
    <row r="338" spans="2:27" x14ac:dyDescent="0.25">
      <c r="B338" s="364" t="s">
        <v>914</v>
      </c>
      <c r="C338" s="364" t="s">
        <v>1699</v>
      </c>
      <c r="D338" s="364" t="s">
        <v>1700</v>
      </c>
      <c r="E338" s="364" t="s">
        <v>1701</v>
      </c>
      <c r="F338" s="364">
        <v>1</v>
      </c>
      <c r="G338" s="364">
        <v>0</v>
      </c>
      <c r="H338" s="364">
        <v>0</v>
      </c>
      <c r="I338" s="364">
        <v>0</v>
      </c>
      <c r="J338" s="364">
        <v>0</v>
      </c>
      <c r="K338" s="364">
        <v>0</v>
      </c>
      <c r="L338" s="364">
        <v>0</v>
      </c>
      <c r="M338" s="364">
        <v>7</v>
      </c>
      <c r="N338" s="364">
        <v>35</v>
      </c>
      <c r="O338" s="364">
        <v>0</v>
      </c>
      <c r="P338" s="364">
        <v>0</v>
      </c>
      <c r="Q338" s="364">
        <v>0</v>
      </c>
      <c r="R338" s="364">
        <v>0</v>
      </c>
      <c r="S338" s="364">
        <v>0</v>
      </c>
      <c r="T338" s="364">
        <v>0</v>
      </c>
      <c r="U338" s="364">
        <v>0</v>
      </c>
      <c r="V338" s="364">
        <v>1</v>
      </c>
      <c r="W338" s="364">
        <v>35</v>
      </c>
      <c r="X338" s="364">
        <v>0</v>
      </c>
      <c r="Y338" s="364">
        <v>38537.72</v>
      </c>
      <c r="Z338" s="364"/>
      <c r="AA338" s="364"/>
    </row>
    <row r="339" spans="2:27" x14ac:dyDescent="0.25">
      <c r="B339" s="364" t="s">
        <v>914</v>
      </c>
      <c r="C339" s="364" t="s">
        <v>1702</v>
      </c>
      <c r="D339" s="364" t="s">
        <v>1703</v>
      </c>
      <c r="E339" s="364" t="s">
        <v>1727</v>
      </c>
      <c r="F339" s="364">
        <v>1</v>
      </c>
      <c r="G339" s="364">
        <v>0</v>
      </c>
      <c r="H339" s="364">
        <v>0</v>
      </c>
      <c r="I339" s="364">
        <v>0</v>
      </c>
      <c r="J339" s="364">
        <v>0</v>
      </c>
      <c r="K339" s="364">
        <v>0</v>
      </c>
      <c r="L339" s="364">
        <v>0</v>
      </c>
      <c r="M339" s="364">
        <v>7</v>
      </c>
      <c r="N339" s="364">
        <v>35</v>
      </c>
      <c r="O339" s="364">
        <v>0</v>
      </c>
      <c r="P339" s="364">
        <v>0</v>
      </c>
      <c r="Q339" s="364">
        <v>0</v>
      </c>
      <c r="R339" s="364">
        <v>0</v>
      </c>
      <c r="S339" s="364">
        <v>0</v>
      </c>
      <c r="T339" s="364">
        <v>0</v>
      </c>
      <c r="U339" s="364">
        <v>0</v>
      </c>
      <c r="V339" s="364">
        <v>1</v>
      </c>
      <c r="W339" s="364">
        <v>35</v>
      </c>
      <c r="X339" s="364">
        <v>0</v>
      </c>
      <c r="Y339" s="364">
        <v>38537.72</v>
      </c>
      <c r="Z339" s="364"/>
      <c r="AA339" s="364"/>
    </row>
    <row r="340" spans="2:27" x14ac:dyDescent="0.25">
      <c r="B340" s="364" t="s">
        <v>914</v>
      </c>
      <c r="C340" s="364" t="s">
        <v>1676</v>
      </c>
      <c r="D340" s="364" t="s">
        <v>1677</v>
      </c>
      <c r="E340" s="364" t="s">
        <v>1678</v>
      </c>
      <c r="F340" s="364">
        <v>1</v>
      </c>
      <c r="G340" s="364">
        <v>0</v>
      </c>
      <c r="H340" s="364">
        <v>0</v>
      </c>
      <c r="I340" s="364">
        <v>0</v>
      </c>
      <c r="J340" s="364">
        <v>0</v>
      </c>
      <c r="K340" s="364">
        <v>0</v>
      </c>
      <c r="L340" s="364">
        <v>0</v>
      </c>
      <c r="M340" s="364">
        <v>7</v>
      </c>
      <c r="N340" s="364">
        <v>35</v>
      </c>
      <c r="O340" s="364">
        <v>0</v>
      </c>
      <c r="P340" s="364">
        <v>0</v>
      </c>
      <c r="Q340" s="364">
        <v>0</v>
      </c>
      <c r="R340" s="364">
        <v>0</v>
      </c>
      <c r="S340" s="364">
        <v>0</v>
      </c>
      <c r="T340" s="364">
        <v>0</v>
      </c>
      <c r="U340" s="364">
        <v>0</v>
      </c>
      <c r="V340" s="364">
        <v>1</v>
      </c>
      <c r="W340" s="364">
        <v>35</v>
      </c>
      <c r="X340" s="364">
        <v>0</v>
      </c>
      <c r="Y340" s="364">
        <v>38537.72</v>
      </c>
    </row>
    <row r="341" spans="2:27" x14ac:dyDescent="0.25">
      <c r="B341" s="364" t="s">
        <v>914</v>
      </c>
      <c r="C341" s="364" t="s">
        <v>1704</v>
      </c>
      <c r="D341" s="364" t="s">
        <v>1705</v>
      </c>
      <c r="E341" s="364" t="s">
        <v>1706</v>
      </c>
      <c r="F341" s="364">
        <v>1</v>
      </c>
      <c r="G341" s="364">
        <v>0</v>
      </c>
      <c r="H341" s="364">
        <v>0</v>
      </c>
      <c r="I341" s="364">
        <v>0</v>
      </c>
      <c r="J341" s="364">
        <v>0</v>
      </c>
      <c r="K341" s="364">
        <v>0</v>
      </c>
      <c r="L341" s="364">
        <v>0</v>
      </c>
      <c r="M341" s="364">
        <v>7</v>
      </c>
      <c r="N341" s="364">
        <v>35</v>
      </c>
      <c r="O341" s="364">
        <v>0</v>
      </c>
      <c r="P341" s="364">
        <v>0</v>
      </c>
      <c r="Q341" s="364">
        <v>0</v>
      </c>
      <c r="R341" s="364">
        <v>0</v>
      </c>
      <c r="S341" s="364">
        <v>0</v>
      </c>
      <c r="T341" s="364">
        <v>0</v>
      </c>
      <c r="U341" s="364">
        <v>0</v>
      </c>
      <c r="V341" s="364">
        <v>1</v>
      </c>
      <c r="W341" s="364">
        <v>35</v>
      </c>
      <c r="X341" s="364">
        <v>0</v>
      </c>
      <c r="Y341" s="364">
        <v>38537.72</v>
      </c>
    </row>
    <row r="342" spans="2:27" x14ac:dyDescent="0.25">
      <c r="B342" s="364" t="s">
        <v>914</v>
      </c>
      <c r="C342" s="364" t="s">
        <v>1707</v>
      </c>
      <c r="D342" s="364" t="s">
        <v>1708</v>
      </c>
      <c r="E342" s="364" t="s">
        <v>1709</v>
      </c>
      <c r="F342" s="364">
        <v>1</v>
      </c>
      <c r="G342" s="364">
        <v>0</v>
      </c>
      <c r="H342" s="364">
        <v>0</v>
      </c>
      <c r="I342" s="364">
        <v>0</v>
      </c>
      <c r="J342" s="364">
        <v>0</v>
      </c>
      <c r="K342" s="364">
        <v>0</v>
      </c>
      <c r="L342" s="364">
        <v>0</v>
      </c>
      <c r="M342" s="364">
        <v>7</v>
      </c>
      <c r="N342" s="364">
        <v>35</v>
      </c>
      <c r="O342" s="364">
        <v>0</v>
      </c>
      <c r="P342" s="364">
        <v>0</v>
      </c>
      <c r="Q342" s="364">
        <v>0</v>
      </c>
      <c r="R342" s="364">
        <v>0</v>
      </c>
      <c r="S342" s="364">
        <v>0</v>
      </c>
      <c r="T342" s="364">
        <v>0</v>
      </c>
      <c r="U342" s="364">
        <v>0</v>
      </c>
      <c r="V342" s="364">
        <v>1</v>
      </c>
      <c r="W342" s="364">
        <v>35</v>
      </c>
      <c r="X342" s="364">
        <v>0</v>
      </c>
      <c r="Y342" s="364">
        <v>32574.9</v>
      </c>
    </row>
    <row r="343" spans="2:27" x14ac:dyDescent="0.25">
      <c r="B343" s="364" t="s">
        <v>914</v>
      </c>
      <c r="C343" s="364" t="s">
        <v>1710</v>
      </c>
      <c r="D343" s="364" t="s">
        <v>1711</v>
      </c>
      <c r="E343" s="364" t="s">
        <v>1712</v>
      </c>
      <c r="F343" s="364">
        <v>1</v>
      </c>
      <c r="G343" s="364">
        <v>0</v>
      </c>
      <c r="H343" s="364">
        <v>0</v>
      </c>
      <c r="I343" s="364">
        <v>0</v>
      </c>
      <c r="J343" s="364">
        <v>0</v>
      </c>
      <c r="K343" s="364">
        <v>0</v>
      </c>
      <c r="L343" s="364">
        <v>0</v>
      </c>
      <c r="M343" s="364">
        <v>7</v>
      </c>
      <c r="N343" s="364">
        <v>35</v>
      </c>
      <c r="O343" s="364">
        <v>0</v>
      </c>
      <c r="P343" s="364">
        <v>0</v>
      </c>
      <c r="Q343" s="364">
        <v>0</v>
      </c>
      <c r="R343" s="364">
        <v>0</v>
      </c>
      <c r="S343" s="364">
        <v>0</v>
      </c>
      <c r="T343" s="364">
        <v>0</v>
      </c>
      <c r="U343" s="364">
        <v>0</v>
      </c>
      <c r="V343" s="364">
        <v>1</v>
      </c>
      <c r="W343" s="364">
        <v>35</v>
      </c>
      <c r="X343" s="364">
        <v>0</v>
      </c>
      <c r="Y343" s="364">
        <v>32357.84</v>
      </c>
    </row>
    <row r="344" spans="2:27" x14ac:dyDescent="0.25">
      <c r="B344" s="364" t="s">
        <v>914</v>
      </c>
      <c r="C344" s="364" t="s">
        <v>1728</v>
      </c>
      <c r="D344" s="364" t="s">
        <v>1729</v>
      </c>
      <c r="E344" s="364" t="s">
        <v>1730</v>
      </c>
      <c r="F344" s="364">
        <v>1</v>
      </c>
      <c r="G344" s="364">
        <v>0</v>
      </c>
      <c r="H344" s="364">
        <v>0</v>
      </c>
      <c r="I344" s="364">
        <v>0</v>
      </c>
      <c r="J344" s="364">
        <v>0</v>
      </c>
      <c r="K344" s="364">
        <v>0</v>
      </c>
      <c r="L344" s="364">
        <v>0</v>
      </c>
      <c r="M344" s="364">
        <v>7</v>
      </c>
      <c r="N344" s="364">
        <v>35</v>
      </c>
      <c r="O344" s="364">
        <v>0</v>
      </c>
      <c r="P344" s="364">
        <v>0</v>
      </c>
      <c r="Q344" s="364">
        <v>0</v>
      </c>
      <c r="R344" s="364">
        <v>0</v>
      </c>
      <c r="S344" s="364">
        <v>0</v>
      </c>
      <c r="T344" s="364">
        <v>0</v>
      </c>
      <c r="U344" s="364">
        <v>0</v>
      </c>
      <c r="V344" s="364">
        <v>1</v>
      </c>
      <c r="W344" s="364">
        <v>35</v>
      </c>
      <c r="X344" s="364">
        <v>0</v>
      </c>
      <c r="Y344" s="364">
        <v>38537.72</v>
      </c>
    </row>
    <row r="345" spans="2:27" x14ac:dyDescent="0.25">
      <c r="B345" s="364" t="s">
        <v>914</v>
      </c>
      <c r="C345" s="364" t="s">
        <v>1682</v>
      </c>
      <c r="D345" s="364" t="s">
        <v>1683</v>
      </c>
      <c r="E345" s="364" t="s">
        <v>1731</v>
      </c>
      <c r="F345" s="364">
        <v>1</v>
      </c>
      <c r="G345" s="364">
        <v>0</v>
      </c>
      <c r="H345" s="364">
        <v>0</v>
      </c>
      <c r="I345" s="364">
        <v>0</v>
      </c>
      <c r="J345" s="364">
        <v>0</v>
      </c>
      <c r="K345" s="364">
        <v>0</v>
      </c>
      <c r="L345" s="364">
        <v>0</v>
      </c>
      <c r="M345" s="364">
        <v>7</v>
      </c>
      <c r="N345" s="364">
        <v>35</v>
      </c>
      <c r="O345" s="364">
        <v>0</v>
      </c>
      <c r="P345" s="364">
        <v>0</v>
      </c>
      <c r="Q345" s="364">
        <v>0</v>
      </c>
      <c r="R345" s="364">
        <v>0</v>
      </c>
      <c r="S345" s="364">
        <v>0</v>
      </c>
      <c r="T345" s="364">
        <v>0</v>
      </c>
      <c r="U345" s="364">
        <v>0</v>
      </c>
      <c r="V345" s="364">
        <v>1</v>
      </c>
      <c r="W345" s="364">
        <v>35</v>
      </c>
      <c r="X345" s="364">
        <v>0</v>
      </c>
      <c r="Y345" s="364">
        <v>38537.72</v>
      </c>
    </row>
    <row r="346" spans="2:27" x14ac:dyDescent="0.25">
      <c r="B346" s="364" t="s">
        <v>914</v>
      </c>
      <c r="C346" s="364" t="s">
        <v>1732</v>
      </c>
      <c r="D346" s="364" t="s">
        <v>1733</v>
      </c>
      <c r="E346" s="364" t="s">
        <v>1734</v>
      </c>
      <c r="F346" s="364">
        <v>1</v>
      </c>
      <c r="G346" s="364">
        <v>0</v>
      </c>
      <c r="H346" s="364">
        <v>0</v>
      </c>
      <c r="I346" s="364">
        <v>0</v>
      </c>
      <c r="J346" s="364">
        <v>0</v>
      </c>
      <c r="K346" s="364">
        <v>0</v>
      </c>
      <c r="L346" s="364">
        <v>0</v>
      </c>
      <c r="M346" s="364">
        <v>7</v>
      </c>
      <c r="N346" s="364">
        <v>35</v>
      </c>
      <c r="O346" s="364">
        <v>0</v>
      </c>
      <c r="P346" s="364">
        <v>0</v>
      </c>
      <c r="Q346" s="364">
        <v>0</v>
      </c>
      <c r="R346" s="364">
        <v>0</v>
      </c>
      <c r="S346" s="364">
        <v>0</v>
      </c>
      <c r="T346" s="364">
        <v>0</v>
      </c>
      <c r="U346" s="364">
        <v>0</v>
      </c>
      <c r="V346" s="364">
        <v>1</v>
      </c>
      <c r="W346" s="364">
        <v>35</v>
      </c>
      <c r="X346" s="364">
        <v>0</v>
      </c>
      <c r="Y346" s="364">
        <v>37756.92</v>
      </c>
    </row>
    <row r="347" spans="2:27" x14ac:dyDescent="0.25">
      <c r="B347" s="364" t="s">
        <v>914</v>
      </c>
      <c r="C347" s="364" t="s">
        <v>1735</v>
      </c>
      <c r="D347" s="364" t="s">
        <v>1736</v>
      </c>
      <c r="E347" s="364" t="s">
        <v>1737</v>
      </c>
      <c r="F347" s="364">
        <v>1</v>
      </c>
      <c r="G347" s="364">
        <v>0</v>
      </c>
      <c r="H347" s="364">
        <v>0</v>
      </c>
      <c r="I347" s="364">
        <v>0</v>
      </c>
      <c r="J347" s="364">
        <v>0</v>
      </c>
      <c r="K347" s="364">
        <v>0</v>
      </c>
      <c r="L347" s="364">
        <v>0</v>
      </c>
      <c r="M347" s="364">
        <v>7</v>
      </c>
      <c r="N347" s="364">
        <v>35</v>
      </c>
      <c r="O347" s="364">
        <v>0</v>
      </c>
      <c r="P347" s="364">
        <v>0</v>
      </c>
      <c r="Q347" s="364">
        <v>0</v>
      </c>
      <c r="R347" s="364">
        <v>0</v>
      </c>
      <c r="S347" s="364">
        <v>0</v>
      </c>
      <c r="T347" s="364">
        <v>0</v>
      </c>
      <c r="U347" s="364">
        <v>0</v>
      </c>
      <c r="V347" s="364">
        <v>1</v>
      </c>
      <c r="W347" s="364">
        <v>35</v>
      </c>
      <c r="X347" s="364">
        <v>0</v>
      </c>
      <c r="Y347" s="364">
        <v>27117.32</v>
      </c>
    </row>
    <row r="348" spans="2:27" x14ac:dyDescent="0.25">
      <c r="B348" s="364" t="s">
        <v>914</v>
      </c>
      <c r="C348" s="364" t="s">
        <v>1738</v>
      </c>
      <c r="D348" s="364" t="s">
        <v>1739</v>
      </c>
      <c r="E348" s="364" t="s">
        <v>1740</v>
      </c>
      <c r="F348" s="364">
        <v>1</v>
      </c>
      <c r="G348" s="364">
        <v>0</v>
      </c>
      <c r="H348" s="364">
        <v>0</v>
      </c>
      <c r="I348" s="364">
        <v>0</v>
      </c>
      <c r="J348" s="364">
        <v>0</v>
      </c>
      <c r="K348" s="364">
        <v>0</v>
      </c>
      <c r="L348" s="364">
        <v>0</v>
      </c>
      <c r="M348" s="364">
        <v>7</v>
      </c>
      <c r="N348" s="364">
        <v>35</v>
      </c>
      <c r="O348" s="364">
        <v>0</v>
      </c>
      <c r="P348" s="364">
        <v>0</v>
      </c>
      <c r="Q348" s="364">
        <v>0</v>
      </c>
      <c r="R348" s="364">
        <v>0</v>
      </c>
      <c r="S348" s="364">
        <v>0</v>
      </c>
      <c r="T348" s="364">
        <v>0</v>
      </c>
      <c r="U348" s="364">
        <v>0</v>
      </c>
      <c r="V348" s="364">
        <v>1</v>
      </c>
      <c r="W348" s="364">
        <v>35</v>
      </c>
      <c r="X348" s="364">
        <v>0</v>
      </c>
      <c r="Y348" s="364">
        <v>32448.1</v>
      </c>
    </row>
    <row r="349" spans="2:27" x14ac:dyDescent="0.25">
      <c r="B349" s="364" t="s">
        <v>914</v>
      </c>
      <c r="C349" s="364" t="s">
        <v>1741</v>
      </c>
      <c r="D349" s="364" t="s">
        <v>1742</v>
      </c>
      <c r="E349" s="364" t="s">
        <v>1743</v>
      </c>
      <c r="F349" s="364">
        <v>1</v>
      </c>
      <c r="G349" s="364">
        <v>0</v>
      </c>
      <c r="H349" s="364">
        <v>0</v>
      </c>
      <c r="I349" s="364">
        <v>0</v>
      </c>
      <c r="J349" s="364">
        <v>0</v>
      </c>
      <c r="K349" s="364">
        <v>0</v>
      </c>
      <c r="L349" s="364">
        <v>0</v>
      </c>
      <c r="M349" s="364">
        <v>7</v>
      </c>
      <c r="N349" s="364">
        <v>35</v>
      </c>
      <c r="O349" s="364">
        <v>0</v>
      </c>
      <c r="P349" s="364">
        <v>0</v>
      </c>
      <c r="Q349" s="364">
        <v>0</v>
      </c>
      <c r="R349" s="364">
        <v>0</v>
      </c>
      <c r="S349" s="364">
        <v>0</v>
      </c>
      <c r="T349" s="364">
        <v>0</v>
      </c>
      <c r="U349" s="364">
        <v>0</v>
      </c>
      <c r="V349" s="364">
        <v>1</v>
      </c>
      <c r="W349" s="364">
        <v>35</v>
      </c>
      <c r="X349" s="364">
        <v>0</v>
      </c>
      <c r="Y349" s="364">
        <v>32448.1</v>
      </c>
    </row>
    <row r="350" spans="2:27" x14ac:dyDescent="0.25">
      <c r="B350" s="364" t="s">
        <v>914</v>
      </c>
      <c r="C350" s="364" t="s">
        <v>1744</v>
      </c>
      <c r="D350" s="364" t="s">
        <v>1745</v>
      </c>
      <c r="E350" s="364" t="s">
        <v>1746</v>
      </c>
      <c r="F350" s="364">
        <v>1</v>
      </c>
      <c r="G350" s="364">
        <v>0</v>
      </c>
      <c r="H350" s="364">
        <v>0</v>
      </c>
      <c r="I350" s="364">
        <v>0</v>
      </c>
      <c r="J350" s="364">
        <v>0</v>
      </c>
      <c r="K350" s="364">
        <v>0</v>
      </c>
      <c r="L350" s="364">
        <v>0</v>
      </c>
      <c r="M350" s="364">
        <v>7</v>
      </c>
      <c r="N350" s="364">
        <v>35</v>
      </c>
      <c r="O350" s="364">
        <v>0</v>
      </c>
      <c r="P350" s="364">
        <v>0</v>
      </c>
      <c r="Q350" s="364">
        <v>0</v>
      </c>
      <c r="R350" s="364">
        <v>0</v>
      </c>
      <c r="S350" s="364">
        <v>0</v>
      </c>
      <c r="T350" s="364">
        <v>0</v>
      </c>
      <c r="U350" s="364">
        <v>0</v>
      </c>
      <c r="V350" s="364">
        <v>1</v>
      </c>
      <c r="W350" s="364">
        <v>35</v>
      </c>
      <c r="X350" s="364">
        <v>0</v>
      </c>
      <c r="Y350" s="364">
        <v>23170.45</v>
      </c>
    </row>
    <row r="351" spans="2:27" x14ac:dyDescent="0.25">
      <c r="B351" s="364" t="s">
        <v>914</v>
      </c>
      <c r="C351" s="364" t="s">
        <v>1747</v>
      </c>
      <c r="D351" s="364" t="s">
        <v>1748</v>
      </c>
      <c r="E351" s="364" t="s">
        <v>1749</v>
      </c>
      <c r="F351" s="364">
        <v>1</v>
      </c>
      <c r="G351" s="364">
        <v>0</v>
      </c>
      <c r="H351" s="364">
        <v>0</v>
      </c>
      <c r="I351" s="364">
        <v>0</v>
      </c>
      <c r="J351" s="364">
        <v>0</v>
      </c>
      <c r="K351" s="364">
        <v>0</v>
      </c>
      <c r="L351" s="364">
        <v>0</v>
      </c>
      <c r="M351" s="364">
        <v>7</v>
      </c>
      <c r="N351" s="364">
        <v>35</v>
      </c>
      <c r="O351" s="364">
        <v>0</v>
      </c>
      <c r="P351" s="364">
        <v>0</v>
      </c>
      <c r="Q351" s="364">
        <v>0</v>
      </c>
      <c r="R351" s="364">
        <v>0</v>
      </c>
      <c r="S351" s="364">
        <v>0</v>
      </c>
      <c r="T351" s="364">
        <v>0</v>
      </c>
      <c r="U351" s="364">
        <v>0</v>
      </c>
      <c r="V351" s="364">
        <v>1</v>
      </c>
      <c r="W351" s="364">
        <v>35</v>
      </c>
      <c r="X351" s="364">
        <v>0</v>
      </c>
      <c r="Y351" s="364">
        <v>26358.48</v>
      </c>
    </row>
    <row r="352" spans="2:27" x14ac:dyDescent="0.25">
      <c r="B352" s="364" t="s">
        <v>914</v>
      </c>
      <c r="C352" s="364" t="s">
        <v>1750</v>
      </c>
      <c r="D352" s="364" t="s">
        <v>1751</v>
      </c>
      <c r="E352" s="364" t="s">
        <v>1752</v>
      </c>
      <c r="F352" s="364">
        <v>1</v>
      </c>
      <c r="G352" s="364">
        <v>0</v>
      </c>
      <c r="H352" s="364">
        <v>0</v>
      </c>
      <c r="I352" s="364">
        <v>0</v>
      </c>
      <c r="J352" s="364">
        <v>0</v>
      </c>
      <c r="K352" s="364">
        <v>0</v>
      </c>
      <c r="L352" s="364">
        <v>0</v>
      </c>
      <c r="M352" s="364">
        <v>7</v>
      </c>
      <c r="N352" s="364">
        <v>35</v>
      </c>
      <c r="O352" s="364">
        <v>0</v>
      </c>
      <c r="P352" s="364">
        <v>0</v>
      </c>
      <c r="Q352" s="364">
        <v>0</v>
      </c>
      <c r="R352" s="364">
        <v>0</v>
      </c>
      <c r="S352" s="364">
        <v>0</v>
      </c>
      <c r="T352" s="364">
        <v>0</v>
      </c>
      <c r="U352" s="364">
        <v>0</v>
      </c>
      <c r="V352" s="364">
        <v>1</v>
      </c>
      <c r="W352" s="364">
        <v>35</v>
      </c>
      <c r="X352" s="364">
        <v>0</v>
      </c>
      <c r="Y352" s="364">
        <v>26358.48</v>
      </c>
    </row>
    <row r="353" spans="2:25" x14ac:dyDescent="0.25">
      <c r="B353" s="364" t="s">
        <v>914</v>
      </c>
      <c r="C353" s="364" t="s">
        <v>1753</v>
      </c>
      <c r="D353" s="364" t="s">
        <v>1754</v>
      </c>
      <c r="E353" s="364" t="s">
        <v>1755</v>
      </c>
      <c r="F353" s="364">
        <v>1</v>
      </c>
      <c r="G353" s="364">
        <v>0</v>
      </c>
      <c r="H353" s="364">
        <v>0</v>
      </c>
      <c r="I353" s="364">
        <v>0</v>
      </c>
      <c r="J353" s="364">
        <v>0</v>
      </c>
      <c r="K353" s="364">
        <v>0</v>
      </c>
      <c r="L353" s="364">
        <v>0</v>
      </c>
      <c r="M353" s="364">
        <v>7</v>
      </c>
      <c r="N353" s="364">
        <v>35</v>
      </c>
      <c r="O353" s="364">
        <v>0</v>
      </c>
      <c r="P353" s="364">
        <v>0</v>
      </c>
      <c r="Q353" s="364">
        <v>0</v>
      </c>
      <c r="R353" s="364">
        <v>0</v>
      </c>
      <c r="S353" s="364">
        <v>0</v>
      </c>
      <c r="T353" s="364">
        <v>0</v>
      </c>
      <c r="U353" s="364">
        <v>0</v>
      </c>
      <c r="V353" s="364">
        <v>1</v>
      </c>
      <c r="W353" s="364">
        <v>35</v>
      </c>
      <c r="X353" s="364">
        <v>0</v>
      </c>
      <c r="Y353" s="364">
        <v>47225.19</v>
      </c>
    </row>
    <row r="354" spans="2:25" x14ac:dyDescent="0.25">
      <c r="B354" s="364" t="s">
        <v>914</v>
      </c>
      <c r="C354" s="364" t="s">
        <v>1756</v>
      </c>
      <c r="D354" s="364" t="s">
        <v>1757</v>
      </c>
      <c r="E354" s="364" t="s">
        <v>1758</v>
      </c>
      <c r="F354" s="364">
        <v>1</v>
      </c>
      <c r="G354" s="364">
        <v>0</v>
      </c>
      <c r="H354" s="364">
        <v>0</v>
      </c>
      <c r="I354" s="364">
        <v>0</v>
      </c>
      <c r="J354" s="364">
        <v>0</v>
      </c>
      <c r="K354" s="364">
        <v>0</v>
      </c>
      <c r="L354" s="364">
        <v>0</v>
      </c>
      <c r="M354" s="364">
        <v>7</v>
      </c>
      <c r="N354" s="364">
        <v>35</v>
      </c>
      <c r="O354" s="364">
        <v>0</v>
      </c>
      <c r="P354" s="364">
        <v>0</v>
      </c>
      <c r="Q354" s="364">
        <v>0</v>
      </c>
      <c r="R354" s="364">
        <v>0</v>
      </c>
      <c r="S354" s="364">
        <v>0</v>
      </c>
      <c r="T354" s="364">
        <v>0</v>
      </c>
      <c r="U354" s="364">
        <v>0</v>
      </c>
      <c r="V354" s="364">
        <v>1</v>
      </c>
      <c r="W354" s="364">
        <v>35</v>
      </c>
      <c r="X354" s="364">
        <v>0</v>
      </c>
      <c r="Y354" s="364">
        <v>12166.12</v>
      </c>
    </row>
    <row r="355" spans="2:25" x14ac:dyDescent="0.25">
      <c r="B355" s="364" t="s">
        <v>914</v>
      </c>
      <c r="C355" s="364" t="s">
        <v>1713</v>
      </c>
      <c r="D355" s="364" t="s">
        <v>1714</v>
      </c>
      <c r="E355" s="364" t="s">
        <v>1715</v>
      </c>
      <c r="F355" s="364">
        <v>1</v>
      </c>
      <c r="G355" s="364">
        <v>0</v>
      </c>
      <c r="H355" s="364">
        <v>0</v>
      </c>
      <c r="I355" s="364">
        <v>0</v>
      </c>
      <c r="J355" s="364">
        <v>0</v>
      </c>
      <c r="K355" s="364">
        <v>0</v>
      </c>
      <c r="L355" s="364">
        <v>0</v>
      </c>
      <c r="M355" s="364">
        <v>7</v>
      </c>
      <c r="N355" s="364">
        <v>35</v>
      </c>
      <c r="O355" s="364">
        <v>0</v>
      </c>
      <c r="P355" s="364">
        <v>0</v>
      </c>
      <c r="Q355" s="364">
        <v>0</v>
      </c>
      <c r="R355" s="364">
        <v>0</v>
      </c>
      <c r="S355" s="364">
        <v>0</v>
      </c>
      <c r="T355" s="364">
        <v>0</v>
      </c>
      <c r="U355" s="364">
        <v>0</v>
      </c>
      <c r="V355" s="364">
        <v>1</v>
      </c>
      <c r="W355" s="364">
        <v>35</v>
      </c>
      <c r="X355" s="364">
        <v>0</v>
      </c>
      <c r="Y355" s="364">
        <v>39059.61</v>
      </c>
    </row>
    <row r="356" spans="2:25" x14ac:dyDescent="0.25">
      <c r="B356" s="253" t="s">
        <v>136</v>
      </c>
      <c r="C356" s="249">
        <f>SUM(Tabla11[Centros de Trabajo])</f>
        <v>338</v>
      </c>
      <c r="D356" s="59"/>
      <c r="F356" s="59"/>
      <c r="G356" s="51"/>
      <c r="H356" s="69"/>
      <c r="I356" s="69"/>
      <c r="J356" s="69"/>
      <c r="K356" s="69"/>
      <c r="L356" s="69"/>
      <c r="M356" s="69"/>
      <c r="N356" s="69"/>
      <c r="O356" s="59"/>
      <c r="P356" s="59"/>
      <c r="Q356" s="59"/>
      <c r="R356" s="59"/>
      <c r="S356" s="59"/>
      <c r="T356" s="59"/>
      <c r="U356" s="59"/>
      <c r="V356" s="435" t="s">
        <v>189</v>
      </c>
      <c r="W356" s="435"/>
      <c r="X356" s="435"/>
      <c r="Y356" s="154">
        <f>SUBTOTAL(109,Tabla11[Total de recursos presupuestales ejercidos en servicios personales en el periodo
(2)])</f>
        <v>14728485.860000018</v>
      </c>
    </row>
    <row r="357" spans="2:25" x14ac:dyDescent="0.25">
      <c r="B357" s="70"/>
      <c r="C357" s="71"/>
      <c r="D357" s="71"/>
      <c r="E357" s="237"/>
      <c r="F357" s="71"/>
      <c r="G357" s="71"/>
      <c r="H357" s="71"/>
      <c r="I357" s="71"/>
      <c r="J357" s="71"/>
      <c r="K357" s="71"/>
      <c r="L357" s="71"/>
      <c r="M357" s="71"/>
      <c r="N357" s="71"/>
      <c r="O357" s="71"/>
      <c r="P357" s="71"/>
      <c r="Q357" s="71"/>
      <c r="R357" s="71"/>
      <c r="S357" s="71"/>
      <c r="T357" s="71"/>
      <c r="U357" s="71"/>
      <c r="V357" s="71"/>
      <c r="W357" s="71"/>
      <c r="X357" s="71"/>
      <c r="Y357" s="83"/>
    </row>
    <row r="358" spans="2:25" x14ac:dyDescent="0.25">
      <c r="B358" s="47" t="s">
        <v>167</v>
      </c>
      <c r="C358" s="51"/>
      <c r="D358" s="51"/>
      <c r="E358" s="223"/>
      <c r="F358" s="51"/>
      <c r="G358" s="51"/>
      <c r="H358" s="50"/>
      <c r="I358" s="50"/>
      <c r="J358" s="50"/>
      <c r="K358" s="50"/>
      <c r="L358" s="50"/>
      <c r="M358" s="50"/>
      <c r="N358" s="50"/>
      <c r="O358" s="50"/>
      <c r="P358" s="50"/>
      <c r="Q358" s="50"/>
      <c r="R358" s="50"/>
      <c r="S358" s="50"/>
      <c r="T358" s="50"/>
      <c r="U358" s="50"/>
      <c r="V358" s="50"/>
      <c r="W358" s="50"/>
      <c r="X358" s="50"/>
      <c r="Y358" s="50"/>
    </row>
    <row r="359" spans="2:25" x14ac:dyDescent="0.25">
      <c r="B359" s="52"/>
      <c r="C359" s="51"/>
      <c r="D359" s="51"/>
      <c r="E359" s="223"/>
      <c r="F359" s="51"/>
      <c r="G359" s="51"/>
      <c r="H359" s="50"/>
      <c r="I359" s="50"/>
      <c r="J359" s="50"/>
      <c r="K359" s="50"/>
      <c r="L359" s="50"/>
      <c r="M359" s="50"/>
      <c r="N359" s="50"/>
      <c r="O359" s="50"/>
      <c r="P359" s="50"/>
      <c r="Q359" s="50"/>
      <c r="R359" s="50"/>
      <c r="S359" s="50"/>
      <c r="T359" s="50"/>
      <c r="U359" s="50"/>
      <c r="V359" s="50"/>
      <c r="W359" s="50"/>
      <c r="X359" s="50"/>
      <c r="Y359" s="50"/>
    </row>
  </sheetData>
  <mergeCells count="17">
    <mergeCell ref="Y13:Y15"/>
    <mergeCell ref="G14:I14"/>
    <mergeCell ref="J14:L14"/>
    <mergeCell ref="M14:O14"/>
    <mergeCell ref="P14:R14"/>
    <mergeCell ref="S14:U14"/>
    <mergeCell ref="G13:U13"/>
    <mergeCell ref="V13:V15"/>
    <mergeCell ref="W13:W15"/>
    <mergeCell ref="X13:X15"/>
    <mergeCell ref="E13:E15"/>
    <mergeCell ref="D13:D15"/>
    <mergeCell ref="C13:C15"/>
    <mergeCell ref="B10:J10"/>
    <mergeCell ref="V356:X356"/>
    <mergeCell ref="B13:B15"/>
    <mergeCell ref="F13:F15"/>
  </mergeCells>
  <dataValidations disablePrompts="1" count="1">
    <dataValidation allowBlank="1" showInputMessage="1" showErrorMessage="1" sqref="W10 B10:J10"/>
  </dataValidations>
  <printOptions horizontalCentered="1"/>
  <pageMargins left="0.23622047244094491" right="0.23622047244094491" top="0.15748031496062992" bottom="1.3779527559055118" header="0" footer="0"/>
  <pageSetup paperSize="14" scale="43" fitToHeight="0" orientation="landscape" r:id="rId1"/>
  <headerFooter>
    <oddFooter>&amp;L&amp;G&amp;C&amp;D&amp;R&amp;P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367"/>
  <sheetViews>
    <sheetView showGridLines="0" view="pageLayout" topLeftCell="H58" zoomScale="110" zoomScaleNormal="110" zoomScalePageLayoutView="110" workbookViewId="0">
      <selection activeCell="F79" sqref="F79"/>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12.8554687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8"/>
      <c r="C1" s="4"/>
      <c r="D1" s="4"/>
      <c r="E1" s="4"/>
      <c r="G1" s="4"/>
      <c r="H1" s="4"/>
      <c r="I1" s="4"/>
      <c r="J1" s="4"/>
      <c r="K1" s="4"/>
      <c r="L1" s="4"/>
      <c r="M1" s="4"/>
      <c r="N1" s="4"/>
      <c r="O1" s="4"/>
      <c r="P1" s="4"/>
      <c r="Q1" s="4"/>
      <c r="R1" s="4"/>
      <c r="S1" s="3"/>
      <c r="T1" s="3"/>
      <c r="U1" s="3"/>
      <c r="V1" s="3"/>
      <c r="W1" s="3"/>
      <c r="X1" s="3"/>
    </row>
    <row r="2" spans="2:24" ht="17.25" customHeight="1" x14ac:dyDescent="0.5">
      <c r="B2" s="8"/>
      <c r="C2" s="4"/>
      <c r="D2" s="4"/>
      <c r="E2" s="4"/>
      <c r="G2" s="4"/>
      <c r="H2" s="4"/>
      <c r="I2" s="4"/>
      <c r="J2" s="4"/>
      <c r="K2" s="4"/>
      <c r="L2" s="4"/>
      <c r="M2" s="4"/>
      <c r="N2" s="4"/>
      <c r="O2" s="4"/>
      <c r="P2" s="4"/>
      <c r="Q2" s="4"/>
      <c r="R2" s="4"/>
      <c r="S2" s="3"/>
      <c r="T2" s="3"/>
      <c r="U2" s="3"/>
      <c r="V2" s="3"/>
      <c r="W2" s="3"/>
      <c r="X2" s="3"/>
    </row>
    <row r="3" spans="2:24" ht="17.25" customHeight="1" x14ac:dyDescent="0.5">
      <c r="B3" s="8"/>
      <c r="C3" s="4"/>
      <c r="D3" s="4"/>
      <c r="E3" s="4"/>
      <c r="G3" s="4"/>
      <c r="H3" s="4"/>
      <c r="I3" s="4"/>
      <c r="J3" s="4"/>
      <c r="K3" s="4"/>
      <c r="L3" s="4"/>
      <c r="M3" s="4"/>
      <c r="N3" s="4"/>
      <c r="O3" s="4"/>
      <c r="P3" s="4"/>
      <c r="Q3" s="4"/>
      <c r="R3" s="4"/>
      <c r="S3" s="3"/>
      <c r="T3" s="3"/>
      <c r="U3" s="3"/>
      <c r="V3" s="3"/>
      <c r="W3" s="3"/>
      <c r="X3" s="3"/>
    </row>
    <row r="4" spans="2:24" ht="17.25" customHeight="1" x14ac:dyDescent="0.5">
      <c r="B4" s="8"/>
      <c r="C4" s="4"/>
      <c r="D4" s="4"/>
      <c r="E4" s="4"/>
      <c r="G4" s="4"/>
      <c r="H4" s="4"/>
      <c r="I4" s="4"/>
      <c r="J4" s="4"/>
      <c r="K4" s="4"/>
      <c r="L4" s="4"/>
      <c r="M4" s="4"/>
      <c r="N4" s="4"/>
      <c r="O4" s="4"/>
      <c r="P4" s="4"/>
      <c r="Q4" s="4"/>
      <c r="R4" s="4"/>
      <c r="S4" s="3"/>
      <c r="T4" s="3"/>
      <c r="U4" s="3"/>
      <c r="V4" s="3"/>
      <c r="W4" s="3"/>
      <c r="X4" s="3"/>
    </row>
    <row r="5" spans="2:24" ht="17.25" customHeight="1" x14ac:dyDescent="0.5">
      <c r="B5" s="8"/>
      <c r="C5" s="4"/>
      <c r="D5" s="4"/>
      <c r="E5" s="4"/>
      <c r="G5" s="4"/>
      <c r="H5" s="4"/>
      <c r="I5" s="4"/>
      <c r="J5" s="4"/>
      <c r="K5" s="4"/>
      <c r="L5" s="4"/>
      <c r="M5" s="4"/>
      <c r="N5" s="4"/>
      <c r="O5" s="4"/>
      <c r="P5" s="4"/>
      <c r="Q5" s="4"/>
      <c r="R5" s="4"/>
      <c r="S5" s="3"/>
      <c r="T5" s="3"/>
      <c r="U5" s="3"/>
      <c r="V5" s="3"/>
      <c r="W5" s="3"/>
      <c r="X5" s="3"/>
    </row>
    <row r="6" spans="2:24" ht="17.25" customHeight="1" x14ac:dyDescent="0.5">
      <c r="B6" s="8"/>
      <c r="C6" s="4"/>
      <c r="D6" s="4"/>
      <c r="E6" s="4"/>
      <c r="G6" s="4"/>
      <c r="H6" s="4"/>
      <c r="I6" s="4"/>
      <c r="J6" s="4"/>
      <c r="K6" s="4"/>
      <c r="L6" s="4"/>
      <c r="M6" s="4"/>
      <c r="N6" s="4"/>
      <c r="O6" s="4"/>
      <c r="P6" s="4"/>
      <c r="Q6" s="4"/>
      <c r="R6" s="4"/>
      <c r="S6" s="3"/>
      <c r="T6" s="3"/>
      <c r="U6" s="3"/>
      <c r="V6" s="3"/>
      <c r="W6" s="3"/>
      <c r="X6" s="3"/>
    </row>
    <row r="7" spans="2:24" ht="17.25" customHeight="1" x14ac:dyDescent="0.5">
      <c r="B7" s="8"/>
      <c r="C7" s="4"/>
      <c r="D7" s="4"/>
      <c r="E7" s="4"/>
      <c r="G7" s="4"/>
      <c r="H7" s="4"/>
      <c r="I7" s="4"/>
      <c r="J7" s="4"/>
      <c r="K7" s="4"/>
      <c r="L7" s="4"/>
      <c r="M7" s="4"/>
      <c r="N7" s="4"/>
      <c r="O7" s="4"/>
      <c r="P7" s="4"/>
      <c r="Q7" s="4"/>
      <c r="R7" s="4"/>
      <c r="S7" s="3"/>
      <c r="T7" s="3"/>
      <c r="U7" s="3"/>
      <c r="V7" s="3"/>
      <c r="W7" s="3"/>
      <c r="X7" s="3"/>
    </row>
    <row r="8" spans="2:24" s="40" customFormat="1" ht="17.25" customHeight="1" x14ac:dyDescent="0.3">
      <c r="B8" s="41" t="s">
        <v>141</v>
      </c>
      <c r="C8" s="42"/>
      <c r="D8" s="42"/>
      <c r="E8" s="42"/>
      <c r="F8" s="42"/>
      <c r="G8" s="42"/>
      <c r="H8" s="42"/>
      <c r="I8" s="42"/>
      <c r="J8" s="42"/>
      <c r="K8" s="42"/>
      <c r="L8" s="42"/>
      <c r="M8" s="42"/>
      <c r="N8" s="42"/>
      <c r="O8" s="42"/>
      <c r="P8" s="42"/>
      <c r="Q8" s="42"/>
      <c r="R8" s="42"/>
      <c r="S8" s="42"/>
      <c r="T8" s="42"/>
      <c r="U8" s="387" t="str">
        <f>'A Y  II D3'!W9</f>
        <v>Entidad Federativa:</v>
      </c>
      <c r="V8" s="386" t="str">
        <f>'A Y  II D3'!X9</f>
        <v>GUANAJUATO</v>
      </c>
    </row>
    <row r="9" spans="2:24" s="40" customFormat="1" ht="17.100000000000001" customHeight="1" x14ac:dyDescent="0.3">
      <c r="B9" s="418" t="str">
        <f>'A Y  II D3'!B10:N10</f>
        <v>Fondo de Aportaciones para la Educación Tecnológica y de Adultos/Instituto Nacional para la Educación de los Adultos (FAETA/INEA)</v>
      </c>
      <c r="C9" s="419"/>
      <c r="D9" s="419"/>
      <c r="E9" s="419"/>
      <c r="F9" s="419"/>
      <c r="G9" s="419"/>
      <c r="H9" s="419"/>
      <c r="I9" s="419"/>
      <c r="J9" s="44"/>
      <c r="K9" s="44"/>
      <c r="L9" s="44"/>
      <c r="M9" s="44"/>
      <c r="N9" s="44"/>
      <c r="O9" s="44"/>
      <c r="P9" s="44"/>
      <c r="Q9" s="44"/>
      <c r="R9" s="44"/>
      <c r="S9" s="44"/>
      <c r="T9" s="262"/>
      <c r="U9" s="44" t="str">
        <f>'A Y  II D3'!X10</f>
        <v>3er. Trimestre 2019</v>
      </c>
      <c r="V9" s="45"/>
    </row>
    <row r="10" spans="2:24" ht="28.5" customHeight="1" x14ac:dyDescent="0.25">
      <c r="B10" s="37"/>
      <c r="C10" s="38"/>
      <c r="D10" s="38"/>
      <c r="E10" s="38"/>
      <c r="F10" s="38"/>
      <c r="G10" s="38"/>
      <c r="H10" s="38"/>
      <c r="I10" s="38"/>
      <c r="J10" s="38"/>
      <c r="K10" s="38"/>
      <c r="L10" s="38"/>
      <c r="M10" s="38"/>
      <c r="N10" s="38"/>
      <c r="O10" s="38"/>
      <c r="P10" s="38"/>
      <c r="Q10" s="38"/>
      <c r="R10" s="38"/>
      <c r="S10" s="38"/>
      <c r="T10" s="38"/>
      <c r="U10" s="38"/>
      <c r="V10" s="39"/>
    </row>
    <row r="11" spans="2:24" ht="5.0999999999999996" customHeight="1" x14ac:dyDescent="0.35">
      <c r="B11" s="5"/>
      <c r="C11" s="9"/>
      <c r="D11" s="9"/>
      <c r="E11" s="9"/>
      <c r="F11" s="9"/>
      <c r="G11" s="9"/>
      <c r="H11" s="9"/>
      <c r="I11" s="9"/>
      <c r="J11" s="5"/>
    </row>
    <row r="12" spans="2:24" ht="37.5" customHeight="1" x14ac:dyDescent="0.25">
      <c r="B12" s="412" t="s">
        <v>0</v>
      </c>
      <c r="C12" s="441" t="s">
        <v>14</v>
      </c>
      <c r="D12" s="441" t="s">
        <v>38</v>
      </c>
      <c r="E12" s="447" t="s">
        <v>17</v>
      </c>
      <c r="F12" s="443" t="s">
        <v>18</v>
      </c>
      <c r="G12" s="443" t="s">
        <v>37</v>
      </c>
      <c r="H12" s="445" t="s">
        <v>39</v>
      </c>
      <c r="I12" s="420" t="s">
        <v>41</v>
      </c>
      <c r="J12" s="421" t="s">
        <v>36</v>
      </c>
      <c r="K12" s="421"/>
      <c r="L12" s="421"/>
      <c r="M12" s="421"/>
      <c r="N12" s="421"/>
      <c r="O12" s="421"/>
      <c r="P12" s="421"/>
      <c r="Q12" s="420" t="s">
        <v>40</v>
      </c>
      <c r="R12" s="439" t="s">
        <v>35</v>
      </c>
      <c r="S12" s="420" t="s">
        <v>34</v>
      </c>
      <c r="T12" s="420"/>
      <c r="U12" s="439" t="s">
        <v>42</v>
      </c>
      <c r="V12" s="439" t="s">
        <v>43</v>
      </c>
    </row>
    <row r="13" spans="2:24" ht="55.5" customHeight="1" x14ac:dyDescent="0.25">
      <c r="B13" s="412"/>
      <c r="C13" s="442"/>
      <c r="D13" s="442"/>
      <c r="E13" s="448"/>
      <c r="F13" s="444"/>
      <c r="G13" s="444"/>
      <c r="H13" s="446"/>
      <c r="I13" s="420"/>
      <c r="J13" s="283" t="s">
        <v>33</v>
      </c>
      <c r="K13" s="283" t="s">
        <v>32</v>
      </c>
      <c r="L13" s="283" t="s">
        <v>31</v>
      </c>
      <c r="M13" s="283" t="s">
        <v>30</v>
      </c>
      <c r="N13" s="283" t="s">
        <v>29</v>
      </c>
      <c r="O13" s="284" t="s">
        <v>54</v>
      </c>
      <c r="P13" s="283" t="s">
        <v>55</v>
      </c>
      <c r="Q13" s="420"/>
      <c r="R13" s="440"/>
      <c r="S13" s="286" t="s">
        <v>26</v>
      </c>
      <c r="T13" s="286" t="s">
        <v>25</v>
      </c>
      <c r="U13" s="439"/>
      <c r="V13" s="439"/>
    </row>
    <row r="14" spans="2:24" ht="5.0999999999999996" customHeight="1" x14ac:dyDescent="0.25"/>
    <row r="15" spans="2:24" ht="76.5" hidden="1" x14ac:dyDescent="0.25">
      <c r="B15" s="204" t="s">
        <v>0</v>
      </c>
      <c r="C15" s="204" t="s">
        <v>14</v>
      </c>
      <c r="D15" s="204" t="s">
        <v>38</v>
      </c>
      <c r="E15" s="211" t="s">
        <v>17</v>
      </c>
      <c r="F15" s="211" t="s">
        <v>18</v>
      </c>
      <c r="G15" s="211" t="s">
        <v>37</v>
      </c>
      <c r="H15" s="204" t="s">
        <v>39</v>
      </c>
      <c r="I15" s="204" t="s">
        <v>41</v>
      </c>
      <c r="J15" s="195" t="s">
        <v>33</v>
      </c>
      <c r="K15" s="195" t="s">
        <v>32</v>
      </c>
      <c r="L15" s="195" t="s">
        <v>31</v>
      </c>
      <c r="M15" s="195" t="s">
        <v>30</v>
      </c>
      <c r="N15" s="195" t="s">
        <v>29</v>
      </c>
      <c r="O15" s="195" t="s">
        <v>28</v>
      </c>
      <c r="P15" s="195" t="s">
        <v>27</v>
      </c>
      <c r="Q15" s="204" t="s">
        <v>40</v>
      </c>
      <c r="R15" s="204" t="s">
        <v>35</v>
      </c>
      <c r="S15" s="195" t="s">
        <v>222</v>
      </c>
      <c r="T15" s="195" t="s">
        <v>223</v>
      </c>
      <c r="U15" s="204" t="s">
        <v>42</v>
      </c>
      <c r="V15" s="204" t="s">
        <v>43</v>
      </c>
    </row>
    <row r="16" spans="2:24" s="255" customFormat="1" ht="15" customHeight="1" x14ac:dyDescent="0.25">
      <c r="B16" s="364" t="s">
        <v>305</v>
      </c>
      <c r="C16" s="364" t="s">
        <v>315</v>
      </c>
      <c r="D16" s="364">
        <v>100</v>
      </c>
      <c r="E16" s="364" t="s">
        <v>744</v>
      </c>
      <c r="F16" s="364" t="s">
        <v>745</v>
      </c>
      <c r="G16" s="364" t="s">
        <v>1044</v>
      </c>
      <c r="H16" s="364" t="s">
        <v>1370</v>
      </c>
      <c r="I16" s="364">
        <v>35</v>
      </c>
      <c r="J16" s="364">
        <v>83101</v>
      </c>
      <c r="K16" s="364">
        <v>1</v>
      </c>
      <c r="L16" s="364">
        <v>7</v>
      </c>
      <c r="M16" s="364">
        <v>4</v>
      </c>
      <c r="N16" s="364" t="s">
        <v>318</v>
      </c>
      <c r="O16" s="364">
        <v>0</v>
      </c>
      <c r="P16" s="364">
        <v>266</v>
      </c>
      <c r="Q16" s="364">
        <v>2</v>
      </c>
      <c r="R16" s="364"/>
      <c r="S16" s="364"/>
      <c r="T16" s="364"/>
      <c r="U16" s="364">
        <v>11998.68</v>
      </c>
      <c r="V16" s="364">
        <v>0</v>
      </c>
    </row>
    <row r="17" spans="2:22" x14ac:dyDescent="0.25">
      <c r="B17" s="364" t="s">
        <v>305</v>
      </c>
      <c r="C17" s="364" t="s">
        <v>315</v>
      </c>
      <c r="D17" s="364">
        <v>100</v>
      </c>
      <c r="E17" s="364" t="s">
        <v>1744</v>
      </c>
      <c r="F17" s="364" t="s">
        <v>1745</v>
      </c>
      <c r="G17" s="364" t="s">
        <v>1746</v>
      </c>
      <c r="H17" s="364" t="s">
        <v>758</v>
      </c>
      <c r="I17" s="364">
        <v>35</v>
      </c>
      <c r="J17" s="364">
        <v>83101</v>
      </c>
      <c r="K17" s="364">
        <v>1</v>
      </c>
      <c r="L17" s="364">
        <v>7</v>
      </c>
      <c r="M17" s="364">
        <v>4</v>
      </c>
      <c r="N17" s="364" t="s">
        <v>759</v>
      </c>
      <c r="O17" s="364">
        <v>0</v>
      </c>
      <c r="P17" s="364">
        <v>267</v>
      </c>
      <c r="Q17" s="364">
        <v>2</v>
      </c>
      <c r="R17" s="364"/>
      <c r="S17" s="364"/>
      <c r="T17" s="364"/>
      <c r="U17" s="364">
        <v>5292.62</v>
      </c>
      <c r="V17" s="364">
        <v>0</v>
      </c>
    </row>
    <row r="18" spans="2:22" x14ac:dyDescent="0.25">
      <c r="B18" s="364" t="s">
        <v>305</v>
      </c>
      <c r="C18" s="364" t="s">
        <v>315</v>
      </c>
      <c r="D18" s="364">
        <v>100</v>
      </c>
      <c r="E18" s="364" t="s">
        <v>626</v>
      </c>
      <c r="F18" s="364" t="s">
        <v>627</v>
      </c>
      <c r="G18" s="364" t="s">
        <v>970</v>
      </c>
      <c r="H18" s="364" t="s">
        <v>316</v>
      </c>
      <c r="I18" s="364">
        <v>35</v>
      </c>
      <c r="J18" s="364">
        <v>83101</v>
      </c>
      <c r="K18" s="364">
        <v>1</v>
      </c>
      <c r="L18" s="364">
        <v>7</v>
      </c>
      <c r="M18" s="364">
        <v>4</v>
      </c>
      <c r="N18" s="364" t="s">
        <v>317</v>
      </c>
      <c r="O18" s="364">
        <v>0</v>
      </c>
      <c r="P18" s="364">
        <v>268</v>
      </c>
      <c r="Q18" s="364">
        <v>2</v>
      </c>
      <c r="R18" s="364"/>
      <c r="S18" s="364"/>
      <c r="T18" s="364"/>
      <c r="U18" s="364">
        <v>7705.92</v>
      </c>
      <c r="V18" s="364">
        <v>0</v>
      </c>
    </row>
    <row r="19" spans="2:22" x14ac:dyDescent="0.25">
      <c r="B19" s="364" t="s">
        <v>305</v>
      </c>
      <c r="C19" s="364" t="s">
        <v>315</v>
      </c>
      <c r="D19" s="364">
        <v>100</v>
      </c>
      <c r="E19" s="364" t="s">
        <v>476</v>
      </c>
      <c r="F19" s="364" t="s">
        <v>477</v>
      </c>
      <c r="G19" s="364" t="s">
        <v>1048</v>
      </c>
      <c r="H19" s="364" t="s">
        <v>316</v>
      </c>
      <c r="I19" s="364">
        <v>35</v>
      </c>
      <c r="J19" s="364">
        <v>83101</v>
      </c>
      <c r="K19" s="364">
        <v>1</v>
      </c>
      <c r="L19" s="364">
        <v>7</v>
      </c>
      <c r="M19" s="364">
        <v>4</v>
      </c>
      <c r="N19" s="364" t="s">
        <v>317</v>
      </c>
      <c r="O19" s="364">
        <v>0</v>
      </c>
      <c r="P19" s="364">
        <v>269</v>
      </c>
      <c r="Q19" s="364">
        <v>2</v>
      </c>
      <c r="R19" s="364"/>
      <c r="S19" s="364"/>
      <c r="T19" s="364"/>
      <c r="U19" s="364">
        <v>7231.85</v>
      </c>
      <c r="V19" s="364">
        <v>0</v>
      </c>
    </row>
    <row r="20" spans="2:22" x14ac:dyDescent="0.25">
      <c r="B20" s="364" t="s">
        <v>305</v>
      </c>
      <c r="C20" s="364" t="s">
        <v>315</v>
      </c>
      <c r="D20" s="364">
        <v>100</v>
      </c>
      <c r="E20" s="364" t="s">
        <v>754</v>
      </c>
      <c r="F20" s="364" t="s">
        <v>755</v>
      </c>
      <c r="G20" s="364" t="s">
        <v>1074</v>
      </c>
      <c r="H20" s="364" t="s">
        <v>1384</v>
      </c>
      <c r="I20" s="364">
        <v>35</v>
      </c>
      <c r="J20" s="364">
        <v>83101</v>
      </c>
      <c r="K20" s="364">
        <v>1</v>
      </c>
      <c r="L20" s="364">
        <v>7</v>
      </c>
      <c r="M20" s="364">
        <v>4</v>
      </c>
      <c r="N20" s="364" t="s">
        <v>770</v>
      </c>
      <c r="O20" s="364">
        <v>0</v>
      </c>
      <c r="P20" s="364">
        <v>27</v>
      </c>
      <c r="Q20" s="364">
        <v>2</v>
      </c>
      <c r="R20" s="364"/>
      <c r="S20" s="364"/>
      <c r="T20" s="364"/>
      <c r="U20" s="364">
        <v>33308.089999999997</v>
      </c>
      <c r="V20" s="364">
        <v>0</v>
      </c>
    </row>
    <row r="21" spans="2:22" x14ac:dyDescent="0.25">
      <c r="B21" s="364" t="s">
        <v>305</v>
      </c>
      <c r="C21" s="364" t="s">
        <v>315</v>
      </c>
      <c r="D21" s="364">
        <v>100</v>
      </c>
      <c r="E21" s="364" t="s">
        <v>1570</v>
      </c>
      <c r="F21" s="364" t="s">
        <v>1571</v>
      </c>
      <c r="G21" s="364" t="s">
        <v>1572</v>
      </c>
      <c r="H21" s="364" t="s">
        <v>316</v>
      </c>
      <c r="I21" s="364">
        <v>35</v>
      </c>
      <c r="J21" s="364">
        <v>83101</v>
      </c>
      <c r="K21" s="364">
        <v>1</v>
      </c>
      <c r="L21" s="364">
        <v>7</v>
      </c>
      <c r="M21" s="364">
        <v>4</v>
      </c>
      <c r="N21" s="364" t="s">
        <v>317</v>
      </c>
      <c r="O21" s="364">
        <v>0</v>
      </c>
      <c r="P21" s="364">
        <v>270</v>
      </c>
      <c r="Q21" s="364">
        <v>2</v>
      </c>
      <c r="R21" s="364"/>
      <c r="S21" s="364"/>
      <c r="T21" s="364"/>
      <c r="U21" s="364">
        <v>6089.62</v>
      </c>
      <c r="V21" s="364">
        <v>0</v>
      </c>
    </row>
    <row r="22" spans="2:22" x14ac:dyDescent="0.25">
      <c r="B22" s="364" t="s">
        <v>305</v>
      </c>
      <c r="C22" s="364" t="s">
        <v>315</v>
      </c>
      <c r="D22" s="364">
        <v>100</v>
      </c>
      <c r="E22" s="364" t="s">
        <v>715</v>
      </c>
      <c r="F22" s="364" t="s">
        <v>716</v>
      </c>
      <c r="G22" s="364" t="s">
        <v>1106</v>
      </c>
      <c r="H22" s="364" t="s">
        <v>316</v>
      </c>
      <c r="I22" s="364">
        <v>35</v>
      </c>
      <c r="J22" s="364">
        <v>83101</v>
      </c>
      <c r="K22" s="364">
        <v>1</v>
      </c>
      <c r="L22" s="364">
        <v>7</v>
      </c>
      <c r="M22" s="364">
        <v>4</v>
      </c>
      <c r="N22" s="364" t="s">
        <v>317</v>
      </c>
      <c r="O22" s="364">
        <v>0</v>
      </c>
      <c r="P22" s="364">
        <v>271</v>
      </c>
      <c r="Q22" s="364">
        <v>2</v>
      </c>
      <c r="R22" s="364"/>
      <c r="S22" s="364"/>
      <c r="T22" s="364"/>
      <c r="U22" s="364">
        <v>6089.62</v>
      </c>
      <c r="V22" s="364">
        <v>0</v>
      </c>
    </row>
    <row r="23" spans="2:22" x14ac:dyDescent="0.25">
      <c r="B23" s="364" t="s">
        <v>305</v>
      </c>
      <c r="C23" s="364" t="s">
        <v>315</v>
      </c>
      <c r="D23" s="364">
        <v>100</v>
      </c>
      <c r="E23" s="364" t="s">
        <v>1626</v>
      </c>
      <c r="F23" s="364" t="s">
        <v>1627</v>
      </c>
      <c r="G23" s="364" t="s">
        <v>1628</v>
      </c>
      <c r="H23" s="364" t="s">
        <v>316</v>
      </c>
      <c r="I23" s="364">
        <v>35</v>
      </c>
      <c r="J23" s="364">
        <v>83101</v>
      </c>
      <c r="K23" s="364">
        <v>1</v>
      </c>
      <c r="L23" s="364">
        <v>7</v>
      </c>
      <c r="M23" s="364">
        <v>4</v>
      </c>
      <c r="N23" s="364" t="s">
        <v>317</v>
      </c>
      <c r="O23" s="364">
        <v>0</v>
      </c>
      <c r="P23" s="364">
        <v>272</v>
      </c>
      <c r="Q23" s="364">
        <v>2</v>
      </c>
      <c r="R23" s="364"/>
      <c r="S23" s="364"/>
      <c r="T23" s="364"/>
      <c r="U23" s="364">
        <v>6089.62</v>
      </c>
      <c r="V23" s="364">
        <v>0</v>
      </c>
    </row>
    <row r="24" spans="2:22" x14ac:dyDescent="0.25">
      <c r="B24" s="364" t="s">
        <v>305</v>
      </c>
      <c r="C24" s="364" t="s">
        <v>315</v>
      </c>
      <c r="D24" s="364">
        <v>100</v>
      </c>
      <c r="E24" s="364" t="s">
        <v>594</v>
      </c>
      <c r="F24" s="364" t="s">
        <v>595</v>
      </c>
      <c r="G24" s="364" t="s">
        <v>972</v>
      </c>
      <c r="H24" s="364" t="s">
        <v>316</v>
      </c>
      <c r="I24" s="364">
        <v>35</v>
      </c>
      <c r="J24" s="364">
        <v>83101</v>
      </c>
      <c r="K24" s="364">
        <v>1</v>
      </c>
      <c r="L24" s="364">
        <v>7</v>
      </c>
      <c r="M24" s="364">
        <v>4</v>
      </c>
      <c r="N24" s="364" t="s">
        <v>317</v>
      </c>
      <c r="O24" s="364">
        <v>0</v>
      </c>
      <c r="P24" s="364">
        <v>273</v>
      </c>
      <c r="Q24" s="364">
        <v>2</v>
      </c>
      <c r="R24" s="364"/>
      <c r="S24" s="364"/>
      <c r="T24" s="364"/>
      <c r="U24" s="364">
        <v>7705.92</v>
      </c>
      <c r="V24" s="364">
        <v>0</v>
      </c>
    </row>
    <row r="25" spans="2:22" x14ac:dyDescent="0.25">
      <c r="B25" s="364" t="s">
        <v>305</v>
      </c>
      <c r="C25" s="364" t="s">
        <v>315</v>
      </c>
      <c r="D25" s="364">
        <v>100</v>
      </c>
      <c r="E25" s="364" t="s">
        <v>468</v>
      </c>
      <c r="F25" s="364" t="s">
        <v>469</v>
      </c>
      <c r="G25" s="364" t="s">
        <v>929</v>
      </c>
      <c r="H25" s="364" t="s">
        <v>758</v>
      </c>
      <c r="I25" s="364">
        <v>35</v>
      </c>
      <c r="J25" s="364">
        <v>83101</v>
      </c>
      <c r="K25" s="364">
        <v>1</v>
      </c>
      <c r="L25" s="364">
        <v>7</v>
      </c>
      <c r="M25" s="364">
        <v>4</v>
      </c>
      <c r="N25" s="364" t="s">
        <v>759</v>
      </c>
      <c r="O25" s="364">
        <v>0</v>
      </c>
      <c r="P25" s="364">
        <v>274</v>
      </c>
      <c r="Q25" s="364">
        <v>2</v>
      </c>
      <c r="R25" s="364"/>
      <c r="S25" s="364"/>
      <c r="T25" s="364"/>
      <c r="U25" s="364">
        <v>7301.55</v>
      </c>
      <c r="V25" s="364">
        <v>0</v>
      </c>
    </row>
    <row r="26" spans="2:22" x14ac:dyDescent="0.25">
      <c r="B26" s="364" t="s">
        <v>305</v>
      </c>
      <c r="C26" s="364" t="s">
        <v>315</v>
      </c>
      <c r="D26" s="364">
        <v>100</v>
      </c>
      <c r="E26" s="364" t="s">
        <v>342</v>
      </c>
      <c r="F26" s="364" t="s">
        <v>343</v>
      </c>
      <c r="G26" s="364" t="s">
        <v>1103</v>
      </c>
      <c r="H26" s="364" t="s">
        <v>763</v>
      </c>
      <c r="I26" s="364">
        <v>35</v>
      </c>
      <c r="J26" s="364">
        <v>83101</v>
      </c>
      <c r="K26" s="364">
        <v>1</v>
      </c>
      <c r="L26" s="364">
        <v>7</v>
      </c>
      <c r="M26" s="364">
        <v>3</v>
      </c>
      <c r="N26" s="364" t="s">
        <v>764</v>
      </c>
      <c r="O26" s="364">
        <v>0</v>
      </c>
      <c r="P26" s="364">
        <v>275</v>
      </c>
      <c r="Q26" s="364">
        <v>2</v>
      </c>
      <c r="R26" s="364"/>
      <c r="S26" s="364"/>
      <c r="T26" s="364"/>
      <c r="U26" s="364">
        <v>6032.48</v>
      </c>
      <c r="V26" s="364">
        <v>0</v>
      </c>
    </row>
    <row r="27" spans="2:22" x14ac:dyDescent="0.25">
      <c r="B27" s="364" t="s">
        <v>305</v>
      </c>
      <c r="C27" s="364" t="s">
        <v>315</v>
      </c>
      <c r="D27" s="364">
        <v>100</v>
      </c>
      <c r="E27" s="364" t="s">
        <v>571</v>
      </c>
      <c r="F27" s="364" t="s">
        <v>572</v>
      </c>
      <c r="G27" s="364" t="s">
        <v>1062</v>
      </c>
      <c r="H27" s="364" t="s">
        <v>316</v>
      </c>
      <c r="I27" s="364">
        <v>35</v>
      </c>
      <c r="J27" s="364">
        <v>83101</v>
      </c>
      <c r="K27" s="364">
        <v>1</v>
      </c>
      <c r="L27" s="364">
        <v>7</v>
      </c>
      <c r="M27" s="364">
        <v>4</v>
      </c>
      <c r="N27" s="364" t="s">
        <v>317</v>
      </c>
      <c r="O27" s="364">
        <v>0</v>
      </c>
      <c r="P27" s="364">
        <v>276</v>
      </c>
      <c r="Q27" s="364">
        <v>2</v>
      </c>
      <c r="R27" s="364"/>
      <c r="S27" s="364"/>
      <c r="T27" s="364"/>
      <c r="U27" s="364">
        <v>7122.45</v>
      </c>
      <c r="V27" s="364">
        <v>0</v>
      </c>
    </row>
    <row r="28" spans="2:22" x14ac:dyDescent="0.25">
      <c r="B28" s="364" t="s">
        <v>305</v>
      </c>
      <c r="C28" s="364" t="s">
        <v>315</v>
      </c>
      <c r="D28" s="364">
        <v>100</v>
      </c>
      <c r="E28" s="364" t="s">
        <v>678</v>
      </c>
      <c r="F28" s="364" t="s">
        <v>679</v>
      </c>
      <c r="G28" s="364" t="s">
        <v>1089</v>
      </c>
      <c r="H28" s="364" t="s">
        <v>316</v>
      </c>
      <c r="I28" s="364">
        <v>35</v>
      </c>
      <c r="J28" s="364">
        <v>83101</v>
      </c>
      <c r="K28" s="364">
        <v>1</v>
      </c>
      <c r="L28" s="364">
        <v>7</v>
      </c>
      <c r="M28" s="364">
        <v>4</v>
      </c>
      <c r="N28" s="364" t="s">
        <v>317</v>
      </c>
      <c r="O28" s="364">
        <v>0</v>
      </c>
      <c r="P28" s="364">
        <v>277</v>
      </c>
      <c r="Q28" s="364">
        <v>2</v>
      </c>
      <c r="R28" s="364"/>
      <c r="S28" s="364"/>
      <c r="T28" s="364"/>
      <c r="U28" s="364">
        <v>6089.62</v>
      </c>
      <c r="V28" s="364">
        <v>0</v>
      </c>
    </row>
    <row r="29" spans="2:22" x14ac:dyDescent="0.25">
      <c r="B29" s="364" t="s">
        <v>305</v>
      </c>
      <c r="C29" s="364" t="s">
        <v>315</v>
      </c>
      <c r="D29" s="364">
        <v>100</v>
      </c>
      <c r="E29" s="364" t="s">
        <v>606</v>
      </c>
      <c r="F29" s="364" t="s">
        <v>607</v>
      </c>
      <c r="G29" s="364" t="s">
        <v>990</v>
      </c>
      <c r="H29" s="364" t="s">
        <v>316</v>
      </c>
      <c r="I29" s="364">
        <v>35</v>
      </c>
      <c r="J29" s="364">
        <v>83101</v>
      </c>
      <c r="K29" s="364">
        <v>1</v>
      </c>
      <c r="L29" s="364">
        <v>7</v>
      </c>
      <c r="M29" s="364">
        <v>4</v>
      </c>
      <c r="N29" s="364" t="s">
        <v>317</v>
      </c>
      <c r="O29" s="364">
        <v>0</v>
      </c>
      <c r="P29" s="364">
        <v>278</v>
      </c>
      <c r="Q29" s="364">
        <v>2</v>
      </c>
      <c r="R29" s="364"/>
      <c r="S29" s="364"/>
      <c r="T29" s="364"/>
      <c r="U29" s="364">
        <v>9970.9500000000007</v>
      </c>
      <c r="V29" s="364">
        <v>0</v>
      </c>
    </row>
    <row r="30" spans="2:22" x14ac:dyDescent="0.25">
      <c r="B30" s="364" t="s">
        <v>305</v>
      </c>
      <c r="C30" s="364" t="s">
        <v>315</v>
      </c>
      <c r="D30" s="364">
        <v>100</v>
      </c>
      <c r="E30" s="364" t="s">
        <v>488</v>
      </c>
      <c r="F30" s="364" t="s">
        <v>489</v>
      </c>
      <c r="G30" s="364" t="s">
        <v>1037</v>
      </c>
      <c r="H30" s="364" t="s">
        <v>316</v>
      </c>
      <c r="I30" s="364">
        <v>35</v>
      </c>
      <c r="J30" s="364">
        <v>83101</v>
      </c>
      <c r="K30" s="364">
        <v>1</v>
      </c>
      <c r="L30" s="364">
        <v>7</v>
      </c>
      <c r="M30" s="364">
        <v>4</v>
      </c>
      <c r="N30" s="364" t="s">
        <v>317</v>
      </c>
      <c r="O30" s="364">
        <v>0</v>
      </c>
      <c r="P30" s="364">
        <v>279</v>
      </c>
      <c r="Q30" s="364">
        <v>2</v>
      </c>
      <c r="R30" s="364"/>
      <c r="S30" s="364"/>
      <c r="T30" s="364"/>
      <c r="U30" s="364">
        <v>7377.71</v>
      </c>
      <c r="V30" s="364">
        <v>0</v>
      </c>
    </row>
    <row r="31" spans="2:22" x14ac:dyDescent="0.25">
      <c r="B31" s="364" t="s">
        <v>305</v>
      </c>
      <c r="C31" s="364" t="s">
        <v>315</v>
      </c>
      <c r="D31" s="364">
        <v>100</v>
      </c>
      <c r="E31" s="364" t="s">
        <v>746</v>
      </c>
      <c r="F31" s="364" t="s">
        <v>747</v>
      </c>
      <c r="G31" s="364" t="s">
        <v>1080</v>
      </c>
      <c r="H31" s="364" t="s">
        <v>1370</v>
      </c>
      <c r="I31" s="364">
        <v>35</v>
      </c>
      <c r="J31" s="364">
        <v>83101</v>
      </c>
      <c r="K31" s="364">
        <v>1</v>
      </c>
      <c r="L31" s="364">
        <v>7</v>
      </c>
      <c r="M31" s="364">
        <v>4</v>
      </c>
      <c r="N31" s="364" t="s">
        <v>318</v>
      </c>
      <c r="O31" s="364">
        <v>0</v>
      </c>
      <c r="P31" s="364">
        <v>280</v>
      </c>
      <c r="Q31" s="364">
        <v>2</v>
      </c>
      <c r="R31" s="364"/>
      <c r="S31" s="364"/>
      <c r="T31" s="364"/>
      <c r="U31" s="364">
        <v>11918.68</v>
      </c>
      <c r="V31" s="364">
        <v>0</v>
      </c>
    </row>
    <row r="32" spans="2:22" x14ac:dyDescent="0.25">
      <c r="B32" s="364" t="s">
        <v>305</v>
      </c>
      <c r="C32" s="364" t="s">
        <v>315</v>
      </c>
      <c r="D32" s="364">
        <v>100</v>
      </c>
      <c r="E32" s="364" t="s">
        <v>1443</v>
      </c>
      <c r="F32" s="364" t="s">
        <v>1444</v>
      </c>
      <c r="G32" s="364" t="s">
        <v>1445</v>
      </c>
      <c r="H32" s="364" t="s">
        <v>316</v>
      </c>
      <c r="I32" s="364">
        <v>35</v>
      </c>
      <c r="J32" s="364">
        <v>83101</v>
      </c>
      <c r="K32" s="364">
        <v>1</v>
      </c>
      <c r="L32" s="364">
        <v>7</v>
      </c>
      <c r="M32" s="364">
        <v>4</v>
      </c>
      <c r="N32" s="364" t="s">
        <v>317</v>
      </c>
      <c r="O32" s="364">
        <v>0</v>
      </c>
      <c r="P32" s="364">
        <v>281</v>
      </c>
      <c r="Q32" s="364">
        <v>2</v>
      </c>
      <c r="R32" s="364"/>
      <c r="S32" s="364"/>
      <c r="T32" s="364"/>
      <c r="U32" s="364">
        <v>6089.62</v>
      </c>
      <c r="V32" s="364">
        <v>0</v>
      </c>
    </row>
    <row r="33" spans="2:22" x14ac:dyDescent="0.25">
      <c r="B33" s="364" t="s">
        <v>305</v>
      </c>
      <c r="C33" s="364" t="s">
        <v>315</v>
      </c>
      <c r="D33" s="364">
        <v>100</v>
      </c>
      <c r="E33" s="364" t="s">
        <v>494</v>
      </c>
      <c r="F33" s="364" t="s">
        <v>495</v>
      </c>
      <c r="G33" s="364" t="s">
        <v>927</v>
      </c>
      <c r="H33" s="364" t="s">
        <v>316</v>
      </c>
      <c r="I33" s="364">
        <v>35</v>
      </c>
      <c r="J33" s="364">
        <v>83101</v>
      </c>
      <c r="K33" s="364">
        <v>1</v>
      </c>
      <c r="L33" s="364">
        <v>7</v>
      </c>
      <c r="M33" s="364">
        <v>4</v>
      </c>
      <c r="N33" s="364" t="s">
        <v>317</v>
      </c>
      <c r="O33" s="364">
        <v>0</v>
      </c>
      <c r="P33" s="364">
        <v>282</v>
      </c>
      <c r="Q33" s="364">
        <v>2</v>
      </c>
      <c r="R33" s="364"/>
      <c r="S33" s="364"/>
      <c r="T33" s="364"/>
      <c r="U33" s="364">
        <v>8034.12</v>
      </c>
      <c r="V33" s="364">
        <v>0</v>
      </c>
    </row>
    <row r="34" spans="2:22" x14ac:dyDescent="0.25">
      <c r="B34" s="364" t="s">
        <v>305</v>
      </c>
      <c r="C34" s="364" t="s">
        <v>315</v>
      </c>
      <c r="D34" s="364">
        <v>100</v>
      </c>
      <c r="E34" s="364" t="s">
        <v>873</v>
      </c>
      <c r="F34" s="364" t="s">
        <v>874</v>
      </c>
      <c r="G34" s="364" t="s">
        <v>1363</v>
      </c>
      <c r="H34" s="364" t="s">
        <v>796</v>
      </c>
      <c r="I34" s="364">
        <v>35</v>
      </c>
      <c r="J34" s="364">
        <v>83101</v>
      </c>
      <c r="K34" s="364">
        <v>1</v>
      </c>
      <c r="L34" s="364">
        <v>7</v>
      </c>
      <c r="M34" s="364">
        <v>4</v>
      </c>
      <c r="N34" s="364" t="s">
        <v>765</v>
      </c>
      <c r="O34" s="364">
        <v>0</v>
      </c>
      <c r="P34" s="364">
        <v>283</v>
      </c>
      <c r="Q34" s="364">
        <v>2</v>
      </c>
      <c r="R34" s="364"/>
      <c r="S34" s="364"/>
      <c r="T34" s="364"/>
      <c r="U34" s="364">
        <v>5614.98</v>
      </c>
      <c r="V34" s="364">
        <v>0</v>
      </c>
    </row>
    <row r="35" spans="2:22" x14ac:dyDescent="0.25">
      <c r="B35" s="364" t="s">
        <v>305</v>
      </c>
      <c r="C35" s="364" t="s">
        <v>315</v>
      </c>
      <c r="D35" s="364">
        <v>100</v>
      </c>
      <c r="E35" s="364" t="s">
        <v>466</v>
      </c>
      <c r="F35" s="364" t="s">
        <v>467</v>
      </c>
      <c r="G35" s="364" t="s">
        <v>938</v>
      </c>
      <c r="H35" s="364" t="s">
        <v>758</v>
      </c>
      <c r="I35" s="364">
        <v>35</v>
      </c>
      <c r="J35" s="364">
        <v>83101</v>
      </c>
      <c r="K35" s="364">
        <v>1</v>
      </c>
      <c r="L35" s="364">
        <v>7</v>
      </c>
      <c r="M35" s="364">
        <v>4</v>
      </c>
      <c r="N35" s="364" t="s">
        <v>759</v>
      </c>
      <c r="O35" s="364">
        <v>0</v>
      </c>
      <c r="P35" s="364">
        <v>284</v>
      </c>
      <c r="Q35" s="364">
        <v>2</v>
      </c>
      <c r="R35" s="364"/>
      <c r="S35" s="364"/>
      <c r="T35" s="364"/>
      <c r="U35" s="364">
        <v>7301.55</v>
      </c>
      <c r="V35" s="364">
        <v>0</v>
      </c>
    </row>
    <row r="36" spans="2:22" x14ac:dyDescent="0.25">
      <c r="B36" s="364" t="s">
        <v>305</v>
      </c>
      <c r="C36" s="364" t="s">
        <v>315</v>
      </c>
      <c r="D36" s="364">
        <v>100</v>
      </c>
      <c r="E36" s="364" t="s">
        <v>1735</v>
      </c>
      <c r="F36" s="364" t="s">
        <v>1736</v>
      </c>
      <c r="G36" s="364" t="s">
        <v>1737</v>
      </c>
      <c r="H36" s="364" t="s">
        <v>763</v>
      </c>
      <c r="I36" s="364">
        <v>35</v>
      </c>
      <c r="J36" s="364">
        <v>83101</v>
      </c>
      <c r="K36" s="364">
        <v>1</v>
      </c>
      <c r="L36" s="364">
        <v>7</v>
      </c>
      <c r="M36" s="364">
        <v>4</v>
      </c>
      <c r="N36" s="364" t="s">
        <v>764</v>
      </c>
      <c r="O36" s="364">
        <v>0</v>
      </c>
      <c r="P36" s="364">
        <v>285</v>
      </c>
      <c r="Q36" s="364">
        <v>2</v>
      </c>
      <c r="R36" s="364"/>
      <c r="S36" s="364"/>
      <c r="T36" s="364"/>
      <c r="U36" s="364">
        <v>5023.4799999999996</v>
      </c>
      <c r="V36" s="364">
        <v>0</v>
      </c>
    </row>
    <row r="37" spans="2:22" x14ac:dyDescent="0.25">
      <c r="B37" s="364" t="s">
        <v>305</v>
      </c>
      <c r="C37" s="364" t="s">
        <v>315</v>
      </c>
      <c r="D37" s="364">
        <v>100</v>
      </c>
      <c r="E37" s="364" t="s">
        <v>311</v>
      </c>
      <c r="F37" s="364" t="s">
        <v>312</v>
      </c>
      <c r="G37" s="364" t="s">
        <v>1005</v>
      </c>
      <c r="H37" s="364" t="s">
        <v>316</v>
      </c>
      <c r="I37" s="364">
        <v>35</v>
      </c>
      <c r="J37" s="364">
        <v>83101</v>
      </c>
      <c r="K37" s="364">
        <v>1</v>
      </c>
      <c r="L37" s="364">
        <v>7</v>
      </c>
      <c r="M37" s="364">
        <v>4</v>
      </c>
      <c r="N37" s="364" t="s">
        <v>317</v>
      </c>
      <c r="O37" s="364">
        <v>0</v>
      </c>
      <c r="P37" s="364">
        <v>286</v>
      </c>
      <c r="Q37" s="364">
        <v>2</v>
      </c>
      <c r="R37" s="364"/>
      <c r="S37" s="364"/>
      <c r="T37" s="364"/>
      <c r="U37" s="364">
        <v>7596.51</v>
      </c>
      <c r="V37" s="364">
        <v>0</v>
      </c>
    </row>
    <row r="38" spans="2:22" x14ac:dyDescent="0.25">
      <c r="B38" s="364" t="s">
        <v>305</v>
      </c>
      <c r="C38" s="364" t="s">
        <v>315</v>
      </c>
      <c r="D38" s="364">
        <v>100</v>
      </c>
      <c r="E38" s="364" t="s">
        <v>614</v>
      </c>
      <c r="F38" s="364" t="s">
        <v>615</v>
      </c>
      <c r="G38" s="364" t="s">
        <v>991</v>
      </c>
      <c r="H38" s="364" t="s">
        <v>316</v>
      </c>
      <c r="I38" s="364">
        <v>35</v>
      </c>
      <c r="J38" s="364">
        <v>83101</v>
      </c>
      <c r="K38" s="364">
        <v>1</v>
      </c>
      <c r="L38" s="364">
        <v>7</v>
      </c>
      <c r="M38" s="364">
        <v>4</v>
      </c>
      <c r="N38" s="364" t="s">
        <v>317</v>
      </c>
      <c r="O38" s="364">
        <v>0</v>
      </c>
      <c r="P38" s="364">
        <v>287</v>
      </c>
      <c r="Q38" s="364">
        <v>2</v>
      </c>
      <c r="R38" s="364"/>
      <c r="S38" s="364"/>
      <c r="T38" s="364"/>
      <c r="U38" s="364">
        <v>7632.98</v>
      </c>
      <c r="V38" s="364">
        <v>0</v>
      </c>
    </row>
    <row r="39" spans="2:22" x14ac:dyDescent="0.25">
      <c r="B39" s="364" t="s">
        <v>305</v>
      </c>
      <c r="C39" s="364" t="s">
        <v>315</v>
      </c>
      <c r="D39" s="364">
        <v>100</v>
      </c>
      <c r="E39" s="364" t="s">
        <v>561</v>
      </c>
      <c r="F39" s="364" t="s">
        <v>562</v>
      </c>
      <c r="G39" s="364" t="s">
        <v>1059</v>
      </c>
      <c r="H39" s="364" t="s">
        <v>316</v>
      </c>
      <c r="I39" s="364">
        <v>35</v>
      </c>
      <c r="J39" s="364">
        <v>83101</v>
      </c>
      <c r="K39" s="364">
        <v>1</v>
      </c>
      <c r="L39" s="364">
        <v>7</v>
      </c>
      <c r="M39" s="364">
        <v>4</v>
      </c>
      <c r="N39" s="364" t="s">
        <v>317</v>
      </c>
      <c r="O39" s="364">
        <v>0</v>
      </c>
      <c r="P39" s="364">
        <v>288</v>
      </c>
      <c r="Q39" s="364">
        <v>2</v>
      </c>
      <c r="R39" s="364"/>
      <c r="S39" s="364"/>
      <c r="T39" s="364"/>
      <c r="U39" s="364">
        <v>7365.56</v>
      </c>
      <c r="V39" s="364">
        <v>0</v>
      </c>
    </row>
    <row r="40" spans="2:22" x14ac:dyDescent="0.25">
      <c r="B40" s="364" t="s">
        <v>305</v>
      </c>
      <c r="C40" s="364" t="s">
        <v>315</v>
      </c>
      <c r="D40" s="364">
        <v>100</v>
      </c>
      <c r="E40" s="364" t="s">
        <v>527</v>
      </c>
      <c r="F40" s="364" t="s">
        <v>528</v>
      </c>
      <c r="G40" s="364" t="s">
        <v>1006</v>
      </c>
      <c r="H40" s="364" t="s">
        <v>316</v>
      </c>
      <c r="I40" s="364">
        <v>35</v>
      </c>
      <c r="J40" s="364">
        <v>83101</v>
      </c>
      <c r="K40" s="364">
        <v>1</v>
      </c>
      <c r="L40" s="364">
        <v>7</v>
      </c>
      <c r="M40" s="364">
        <v>4</v>
      </c>
      <c r="N40" s="364" t="s">
        <v>317</v>
      </c>
      <c r="O40" s="364">
        <v>0</v>
      </c>
      <c r="P40" s="364">
        <v>289</v>
      </c>
      <c r="Q40" s="364">
        <v>2</v>
      </c>
      <c r="R40" s="364"/>
      <c r="S40" s="364"/>
      <c r="T40" s="364"/>
      <c r="U40" s="364">
        <v>7596.51</v>
      </c>
      <c r="V40" s="364">
        <v>0</v>
      </c>
    </row>
    <row r="41" spans="2:22" x14ac:dyDescent="0.25">
      <c r="B41" s="364" t="s">
        <v>305</v>
      </c>
      <c r="C41" s="364" t="s">
        <v>315</v>
      </c>
      <c r="D41" s="364">
        <v>100</v>
      </c>
      <c r="E41" s="364" t="s">
        <v>374</v>
      </c>
      <c r="F41" s="364" t="s">
        <v>375</v>
      </c>
      <c r="G41" s="364" t="s">
        <v>1376</v>
      </c>
      <c r="H41" s="364" t="s">
        <v>756</v>
      </c>
      <c r="I41" s="364">
        <v>35</v>
      </c>
      <c r="J41" s="364">
        <v>83101</v>
      </c>
      <c r="K41" s="364">
        <v>1</v>
      </c>
      <c r="L41" s="364">
        <v>7</v>
      </c>
      <c r="M41" s="364">
        <v>4</v>
      </c>
      <c r="N41" s="364" t="s">
        <v>757</v>
      </c>
      <c r="O41" s="364">
        <v>0</v>
      </c>
      <c r="P41" s="364">
        <v>29</v>
      </c>
      <c r="Q41" s="364">
        <v>2</v>
      </c>
      <c r="R41" s="364"/>
      <c r="S41" s="364"/>
      <c r="T41" s="364"/>
      <c r="U41" s="364">
        <v>6331.29</v>
      </c>
      <c r="V41" s="364">
        <v>0</v>
      </c>
    </row>
    <row r="42" spans="2:22" x14ac:dyDescent="0.25">
      <c r="B42" s="364" t="s">
        <v>305</v>
      </c>
      <c r="C42" s="364" t="s">
        <v>315</v>
      </c>
      <c r="D42" s="364">
        <v>100</v>
      </c>
      <c r="E42" s="364" t="s">
        <v>642</v>
      </c>
      <c r="F42" s="364" t="s">
        <v>643</v>
      </c>
      <c r="G42" s="364" t="s">
        <v>976</v>
      </c>
      <c r="H42" s="364" t="s">
        <v>316</v>
      </c>
      <c r="I42" s="364">
        <v>35</v>
      </c>
      <c r="J42" s="364">
        <v>83101</v>
      </c>
      <c r="K42" s="364">
        <v>1</v>
      </c>
      <c r="L42" s="364">
        <v>7</v>
      </c>
      <c r="M42" s="364">
        <v>4</v>
      </c>
      <c r="N42" s="364" t="s">
        <v>317</v>
      </c>
      <c r="O42" s="364">
        <v>0</v>
      </c>
      <c r="P42" s="364">
        <v>290</v>
      </c>
      <c r="Q42" s="364">
        <v>2</v>
      </c>
      <c r="R42" s="364"/>
      <c r="S42" s="364"/>
      <c r="T42" s="364"/>
      <c r="U42" s="364">
        <v>7669.45</v>
      </c>
      <c r="V42" s="364">
        <v>0</v>
      </c>
    </row>
    <row r="43" spans="2:22" x14ac:dyDescent="0.25">
      <c r="B43" s="364" t="s">
        <v>305</v>
      </c>
      <c r="C43" s="364" t="s">
        <v>315</v>
      </c>
      <c r="D43" s="364">
        <v>100</v>
      </c>
      <c r="E43" s="364" t="s">
        <v>500</v>
      </c>
      <c r="F43" s="364" t="s">
        <v>501</v>
      </c>
      <c r="G43" s="364" t="s">
        <v>978</v>
      </c>
      <c r="H43" s="364" t="s">
        <v>316</v>
      </c>
      <c r="I43" s="364">
        <v>35</v>
      </c>
      <c r="J43" s="364">
        <v>83101</v>
      </c>
      <c r="K43" s="364">
        <v>1</v>
      </c>
      <c r="L43" s="364">
        <v>7</v>
      </c>
      <c r="M43" s="364">
        <v>4</v>
      </c>
      <c r="N43" s="364" t="s">
        <v>317</v>
      </c>
      <c r="O43" s="364">
        <v>0</v>
      </c>
      <c r="P43" s="364">
        <v>291</v>
      </c>
      <c r="Q43" s="364">
        <v>2</v>
      </c>
      <c r="R43" s="364"/>
      <c r="S43" s="364"/>
      <c r="T43" s="364"/>
      <c r="U43" s="364">
        <v>7669.45</v>
      </c>
      <c r="V43" s="364">
        <v>0</v>
      </c>
    </row>
    <row r="44" spans="2:22" x14ac:dyDescent="0.25">
      <c r="B44" s="364" t="s">
        <v>305</v>
      </c>
      <c r="C44" s="364" t="s">
        <v>315</v>
      </c>
      <c r="D44" s="364">
        <v>100</v>
      </c>
      <c r="E44" s="364" t="s">
        <v>578</v>
      </c>
      <c r="F44" s="364" t="s">
        <v>579</v>
      </c>
      <c r="G44" s="364" t="s">
        <v>1017</v>
      </c>
      <c r="H44" s="364" t="s">
        <v>316</v>
      </c>
      <c r="I44" s="364">
        <v>35</v>
      </c>
      <c r="J44" s="364">
        <v>83101</v>
      </c>
      <c r="K44" s="364">
        <v>1</v>
      </c>
      <c r="L44" s="364">
        <v>7</v>
      </c>
      <c r="M44" s="364">
        <v>4</v>
      </c>
      <c r="N44" s="364" t="s">
        <v>317</v>
      </c>
      <c r="O44" s="364">
        <v>0</v>
      </c>
      <c r="P44" s="364">
        <v>292</v>
      </c>
      <c r="Q44" s="364">
        <v>2</v>
      </c>
      <c r="R44" s="364"/>
      <c r="S44" s="364"/>
      <c r="T44" s="364"/>
      <c r="U44" s="364">
        <v>7092.46</v>
      </c>
      <c r="V44" s="364">
        <v>0</v>
      </c>
    </row>
    <row r="45" spans="2:22" x14ac:dyDescent="0.25">
      <c r="B45" s="364" t="s">
        <v>305</v>
      </c>
      <c r="C45" s="364" t="s">
        <v>315</v>
      </c>
      <c r="D45" s="364">
        <v>100</v>
      </c>
      <c r="E45" s="364" t="s">
        <v>523</v>
      </c>
      <c r="F45" s="364" t="s">
        <v>524</v>
      </c>
      <c r="G45" s="364" t="s">
        <v>980</v>
      </c>
      <c r="H45" s="364" t="s">
        <v>316</v>
      </c>
      <c r="I45" s="364">
        <v>35</v>
      </c>
      <c r="J45" s="364">
        <v>83101</v>
      </c>
      <c r="K45" s="364">
        <v>1</v>
      </c>
      <c r="L45" s="364">
        <v>7</v>
      </c>
      <c r="M45" s="364">
        <v>4</v>
      </c>
      <c r="N45" s="364" t="s">
        <v>317</v>
      </c>
      <c r="O45" s="364">
        <v>0</v>
      </c>
      <c r="P45" s="364">
        <v>293</v>
      </c>
      <c r="Q45" s="364">
        <v>2</v>
      </c>
      <c r="R45" s="364"/>
      <c r="S45" s="364"/>
      <c r="T45" s="364"/>
      <c r="U45" s="364">
        <v>7201.86</v>
      </c>
      <c r="V45" s="364">
        <v>0</v>
      </c>
    </row>
    <row r="46" spans="2:22" x14ac:dyDescent="0.25">
      <c r="B46" s="364" t="s">
        <v>305</v>
      </c>
      <c r="C46" s="364" t="s">
        <v>315</v>
      </c>
      <c r="D46" s="364">
        <v>100</v>
      </c>
      <c r="E46" s="364" t="s">
        <v>717</v>
      </c>
      <c r="F46" s="364" t="s">
        <v>718</v>
      </c>
      <c r="G46" s="364" t="s">
        <v>1105</v>
      </c>
      <c r="H46" s="364" t="s">
        <v>316</v>
      </c>
      <c r="I46" s="364">
        <v>35</v>
      </c>
      <c r="J46" s="364">
        <v>83101</v>
      </c>
      <c r="K46" s="364">
        <v>1</v>
      </c>
      <c r="L46" s="364">
        <v>7</v>
      </c>
      <c r="M46" s="364">
        <v>4</v>
      </c>
      <c r="N46" s="364" t="s">
        <v>317</v>
      </c>
      <c r="O46" s="364">
        <v>0</v>
      </c>
      <c r="P46" s="364">
        <v>294</v>
      </c>
      <c r="Q46" s="364">
        <v>2</v>
      </c>
      <c r="R46" s="364"/>
      <c r="S46" s="364"/>
      <c r="T46" s="364"/>
      <c r="U46" s="364">
        <v>6089.62</v>
      </c>
      <c r="V46" s="364">
        <v>0</v>
      </c>
    </row>
    <row r="47" spans="2:22" x14ac:dyDescent="0.25">
      <c r="B47" s="364" t="s">
        <v>305</v>
      </c>
      <c r="C47" s="364" t="s">
        <v>315</v>
      </c>
      <c r="D47" s="364">
        <v>100</v>
      </c>
      <c r="E47" s="364" t="s">
        <v>713</v>
      </c>
      <c r="F47" s="364" t="s">
        <v>714</v>
      </c>
      <c r="G47" s="364" t="s">
        <v>1390</v>
      </c>
      <c r="H47" s="364" t="s">
        <v>316</v>
      </c>
      <c r="I47" s="364">
        <v>35</v>
      </c>
      <c r="J47" s="364">
        <v>83101</v>
      </c>
      <c r="K47" s="364">
        <v>1</v>
      </c>
      <c r="L47" s="364">
        <v>7</v>
      </c>
      <c r="M47" s="364">
        <v>4</v>
      </c>
      <c r="N47" s="364" t="s">
        <v>317</v>
      </c>
      <c r="O47" s="364">
        <v>0</v>
      </c>
      <c r="P47" s="364">
        <v>295</v>
      </c>
      <c r="Q47" s="364">
        <v>2</v>
      </c>
      <c r="R47" s="364"/>
      <c r="S47" s="364"/>
      <c r="T47" s="364"/>
      <c r="U47" s="364">
        <v>6089.62</v>
      </c>
      <c r="V47" s="364">
        <v>0</v>
      </c>
    </row>
    <row r="48" spans="2:22" x14ac:dyDescent="0.25">
      <c r="B48" s="364" t="s">
        <v>305</v>
      </c>
      <c r="C48" s="364" t="s">
        <v>315</v>
      </c>
      <c r="D48" s="364">
        <v>100</v>
      </c>
      <c r="E48" s="364" t="s">
        <v>704</v>
      </c>
      <c r="F48" s="364" t="s">
        <v>705</v>
      </c>
      <c r="G48" s="364" t="s">
        <v>979</v>
      </c>
      <c r="H48" s="364" t="s">
        <v>316</v>
      </c>
      <c r="I48" s="364">
        <v>35</v>
      </c>
      <c r="J48" s="364">
        <v>83101</v>
      </c>
      <c r="K48" s="364">
        <v>1</v>
      </c>
      <c r="L48" s="364">
        <v>7</v>
      </c>
      <c r="M48" s="364">
        <v>4</v>
      </c>
      <c r="N48" s="364" t="s">
        <v>317</v>
      </c>
      <c r="O48" s="364">
        <v>0</v>
      </c>
      <c r="P48" s="364">
        <v>296</v>
      </c>
      <c r="Q48" s="364">
        <v>2</v>
      </c>
      <c r="R48" s="364"/>
      <c r="S48" s="364"/>
      <c r="T48" s="364"/>
      <c r="U48" s="364">
        <v>7669.45</v>
      </c>
      <c r="V48" s="364">
        <v>0</v>
      </c>
    </row>
    <row r="49" spans="2:22" x14ac:dyDescent="0.25">
      <c r="B49" s="364" t="s">
        <v>305</v>
      </c>
      <c r="C49" s="364" t="s">
        <v>315</v>
      </c>
      <c r="D49" s="364">
        <v>100</v>
      </c>
      <c r="E49" s="364" t="s">
        <v>498</v>
      </c>
      <c r="F49" s="364" t="s">
        <v>499</v>
      </c>
      <c r="G49" s="364" t="s">
        <v>1038</v>
      </c>
      <c r="H49" s="364" t="s">
        <v>316</v>
      </c>
      <c r="I49" s="364">
        <v>35</v>
      </c>
      <c r="J49" s="364">
        <v>83101</v>
      </c>
      <c r="K49" s="364">
        <v>1</v>
      </c>
      <c r="L49" s="364">
        <v>7</v>
      </c>
      <c r="M49" s="364">
        <v>4</v>
      </c>
      <c r="N49" s="364" t="s">
        <v>317</v>
      </c>
      <c r="O49" s="364">
        <v>0</v>
      </c>
      <c r="P49" s="364">
        <v>297</v>
      </c>
      <c r="Q49" s="364">
        <v>2</v>
      </c>
      <c r="R49" s="364"/>
      <c r="S49" s="364"/>
      <c r="T49" s="364"/>
      <c r="U49" s="364">
        <v>6490.75</v>
      </c>
      <c r="V49" s="364">
        <v>0</v>
      </c>
    </row>
    <row r="50" spans="2:22" x14ac:dyDescent="0.25">
      <c r="B50" s="364" t="s">
        <v>305</v>
      </c>
      <c r="C50" s="364" t="s">
        <v>315</v>
      </c>
      <c r="D50" s="364">
        <v>100</v>
      </c>
      <c r="E50" s="364" t="s">
        <v>1699</v>
      </c>
      <c r="F50" s="364" t="s">
        <v>1700</v>
      </c>
      <c r="G50" s="364" t="s">
        <v>1701</v>
      </c>
      <c r="H50" s="364" t="s">
        <v>316</v>
      </c>
      <c r="I50" s="364">
        <v>35</v>
      </c>
      <c r="J50" s="364">
        <v>83101</v>
      </c>
      <c r="K50" s="364">
        <v>1</v>
      </c>
      <c r="L50" s="364">
        <v>7</v>
      </c>
      <c r="M50" s="364">
        <v>4</v>
      </c>
      <c r="N50" s="364" t="s">
        <v>317</v>
      </c>
      <c r="O50" s="364">
        <v>0</v>
      </c>
      <c r="P50" s="364">
        <v>298</v>
      </c>
      <c r="Q50" s="364">
        <v>2</v>
      </c>
      <c r="R50" s="364"/>
      <c r="S50" s="364"/>
      <c r="T50" s="364"/>
      <c r="U50" s="364">
        <v>6089.62</v>
      </c>
      <c r="V50" s="364">
        <v>0</v>
      </c>
    </row>
    <row r="51" spans="2:22" x14ac:dyDescent="0.25">
      <c r="B51" s="364" t="s">
        <v>305</v>
      </c>
      <c r="C51" s="364" t="s">
        <v>315</v>
      </c>
      <c r="D51" s="364">
        <v>100</v>
      </c>
      <c r="E51" s="364" t="s">
        <v>698</v>
      </c>
      <c r="F51" s="364" t="s">
        <v>699</v>
      </c>
      <c r="G51" s="364" t="s">
        <v>982</v>
      </c>
      <c r="H51" s="364" t="s">
        <v>316</v>
      </c>
      <c r="I51" s="364">
        <v>35</v>
      </c>
      <c r="J51" s="364">
        <v>83101</v>
      </c>
      <c r="K51" s="364">
        <v>1</v>
      </c>
      <c r="L51" s="364">
        <v>7</v>
      </c>
      <c r="M51" s="364">
        <v>4</v>
      </c>
      <c r="N51" s="364" t="s">
        <v>317</v>
      </c>
      <c r="O51" s="364">
        <v>0</v>
      </c>
      <c r="P51" s="364">
        <v>299</v>
      </c>
      <c r="Q51" s="364">
        <v>2</v>
      </c>
      <c r="R51" s="364"/>
      <c r="S51" s="364"/>
      <c r="T51" s="364"/>
      <c r="U51" s="364">
        <v>7669.45</v>
      </c>
      <c r="V51" s="364">
        <v>0</v>
      </c>
    </row>
    <row r="52" spans="2:22" x14ac:dyDescent="0.25">
      <c r="B52" s="364" t="s">
        <v>305</v>
      </c>
      <c r="C52" s="364" t="s">
        <v>315</v>
      </c>
      <c r="D52" s="364">
        <v>100</v>
      </c>
      <c r="E52" s="364" t="s">
        <v>1364</v>
      </c>
      <c r="F52" s="364" t="s">
        <v>1365</v>
      </c>
      <c r="G52" s="364" t="s">
        <v>1366</v>
      </c>
      <c r="H52" s="364" t="s">
        <v>1392</v>
      </c>
      <c r="I52" s="364">
        <v>35</v>
      </c>
      <c r="J52" s="364">
        <v>83101</v>
      </c>
      <c r="K52" s="364">
        <v>1</v>
      </c>
      <c r="L52" s="364">
        <v>7</v>
      </c>
      <c r="M52" s="364">
        <v>3</v>
      </c>
      <c r="N52" s="364" t="s">
        <v>1759</v>
      </c>
      <c r="O52" s="364">
        <v>0</v>
      </c>
      <c r="P52" s="364">
        <v>3</v>
      </c>
      <c r="Q52" s="364">
        <v>2</v>
      </c>
      <c r="R52" s="364"/>
      <c r="S52" s="364"/>
      <c r="T52" s="364"/>
      <c r="U52" s="364">
        <v>8564.85</v>
      </c>
      <c r="V52" s="364">
        <v>0</v>
      </c>
    </row>
    <row r="53" spans="2:22" x14ac:dyDescent="0.25">
      <c r="B53" s="364" t="s">
        <v>305</v>
      </c>
      <c r="C53" s="364" t="s">
        <v>315</v>
      </c>
      <c r="D53" s="364">
        <v>100</v>
      </c>
      <c r="E53" s="364" t="s">
        <v>752</v>
      </c>
      <c r="F53" s="364" t="s">
        <v>753</v>
      </c>
      <c r="G53" s="364" t="s">
        <v>1108</v>
      </c>
      <c r="H53" s="364" t="s">
        <v>1370</v>
      </c>
      <c r="I53" s="364">
        <v>35</v>
      </c>
      <c r="J53" s="364">
        <v>83101</v>
      </c>
      <c r="K53" s="364">
        <v>1</v>
      </c>
      <c r="L53" s="364">
        <v>7</v>
      </c>
      <c r="M53" s="364">
        <v>2</v>
      </c>
      <c r="N53" s="364" t="s">
        <v>318</v>
      </c>
      <c r="O53" s="364">
        <v>0</v>
      </c>
      <c r="P53" s="364">
        <v>30</v>
      </c>
      <c r="Q53" s="364">
        <v>2</v>
      </c>
      <c r="R53" s="364"/>
      <c r="S53" s="364"/>
      <c r="T53" s="364"/>
      <c r="U53" s="364">
        <v>11918.68</v>
      </c>
      <c r="V53" s="364">
        <v>0</v>
      </c>
    </row>
    <row r="54" spans="2:22" x14ac:dyDescent="0.25">
      <c r="B54" s="364" t="s">
        <v>305</v>
      </c>
      <c r="C54" s="364" t="s">
        <v>315</v>
      </c>
      <c r="D54" s="364">
        <v>100</v>
      </c>
      <c r="E54" s="364" t="s">
        <v>660</v>
      </c>
      <c r="F54" s="364" t="s">
        <v>661</v>
      </c>
      <c r="G54" s="364" t="s">
        <v>1381</v>
      </c>
      <c r="H54" s="364" t="s">
        <v>316</v>
      </c>
      <c r="I54" s="364">
        <v>35</v>
      </c>
      <c r="J54" s="364">
        <v>83101</v>
      </c>
      <c r="K54" s="364">
        <v>1</v>
      </c>
      <c r="L54" s="364">
        <v>7</v>
      </c>
      <c r="M54" s="364">
        <v>4</v>
      </c>
      <c r="N54" s="364" t="s">
        <v>317</v>
      </c>
      <c r="O54" s="364">
        <v>0</v>
      </c>
      <c r="P54" s="364">
        <v>301</v>
      </c>
      <c r="Q54" s="364">
        <v>2</v>
      </c>
      <c r="R54" s="364"/>
      <c r="S54" s="364"/>
      <c r="T54" s="364"/>
      <c r="U54" s="364">
        <v>7912.56</v>
      </c>
      <c r="V54" s="364">
        <v>0</v>
      </c>
    </row>
    <row r="55" spans="2:22" x14ac:dyDescent="0.25">
      <c r="B55" s="364" t="s">
        <v>305</v>
      </c>
      <c r="C55" s="364" t="s">
        <v>315</v>
      </c>
      <c r="D55" s="364">
        <v>100</v>
      </c>
      <c r="E55" s="364" t="s">
        <v>680</v>
      </c>
      <c r="F55" s="364" t="s">
        <v>681</v>
      </c>
      <c r="G55" s="364" t="s">
        <v>985</v>
      </c>
      <c r="H55" s="364" t="s">
        <v>316</v>
      </c>
      <c r="I55" s="364">
        <v>35</v>
      </c>
      <c r="J55" s="364">
        <v>83101</v>
      </c>
      <c r="K55" s="364">
        <v>1</v>
      </c>
      <c r="L55" s="364">
        <v>7</v>
      </c>
      <c r="M55" s="364">
        <v>4</v>
      </c>
      <c r="N55" s="364" t="s">
        <v>317</v>
      </c>
      <c r="O55" s="364">
        <v>0</v>
      </c>
      <c r="P55" s="364">
        <v>302</v>
      </c>
      <c r="Q55" s="364">
        <v>2</v>
      </c>
      <c r="R55" s="364"/>
      <c r="S55" s="364"/>
      <c r="T55" s="364"/>
      <c r="U55" s="364">
        <v>7669.45</v>
      </c>
      <c r="V55" s="364">
        <v>0</v>
      </c>
    </row>
    <row r="56" spans="2:22" x14ac:dyDescent="0.25">
      <c r="B56" s="364" t="s">
        <v>305</v>
      </c>
      <c r="C56" s="364" t="s">
        <v>315</v>
      </c>
      <c r="D56" s="364">
        <v>100</v>
      </c>
      <c r="E56" s="364" t="s">
        <v>667</v>
      </c>
      <c r="F56" s="364" t="s">
        <v>668</v>
      </c>
      <c r="G56" s="364" t="s">
        <v>986</v>
      </c>
      <c r="H56" s="364" t="s">
        <v>316</v>
      </c>
      <c r="I56" s="364">
        <v>35</v>
      </c>
      <c r="J56" s="364">
        <v>83101</v>
      </c>
      <c r="K56" s="364">
        <v>1</v>
      </c>
      <c r="L56" s="364">
        <v>7</v>
      </c>
      <c r="M56" s="364">
        <v>4</v>
      </c>
      <c r="N56" s="364" t="s">
        <v>317</v>
      </c>
      <c r="O56" s="364">
        <v>0</v>
      </c>
      <c r="P56" s="364">
        <v>303</v>
      </c>
      <c r="Q56" s="364">
        <v>2</v>
      </c>
      <c r="R56" s="364"/>
      <c r="S56" s="364"/>
      <c r="T56" s="364"/>
      <c r="U56" s="364">
        <v>20927.669999999998</v>
      </c>
      <c r="V56" s="364">
        <v>0</v>
      </c>
    </row>
    <row r="57" spans="2:22" x14ac:dyDescent="0.25">
      <c r="B57" s="364" t="s">
        <v>305</v>
      </c>
      <c r="C57" s="364" t="s">
        <v>315</v>
      </c>
      <c r="D57" s="364">
        <v>100</v>
      </c>
      <c r="E57" s="364" t="s">
        <v>1637</v>
      </c>
      <c r="F57" s="364" t="s">
        <v>1638</v>
      </c>
      <c r="G57" s="364" t="s">
        <v>1639</v>
      </c>
      <c r="H57" s="364" t="s">
        <v>796</v>
      </c>
      <c r="I57" s="364">
        <v>35</v>
      </c>
      <c r="J57" s="364">
        <v>83101</v>
      </c>
      <c r="K57" s="364">
        <v>1</v>
      </c>
      <c r="L57" s="364">
        <v>7</v>
      </c>
      <c r="M57" s="364">
        <v>6</v>
      </c>
      <c r="N57" s="364" t="s">
        <v>765</v>
      </c>
      <c r="O57" s="364">
        <v>0</v>
      </c>
      <c r="P57" s="364">
        <v>304</v>
      </c>
      <c r="Q57" s="364">
        <v>2</v>
      </c>
      <c r="R57" s="364"/>
      <c r="S57" s="364"/>
      <c r="T57" s="364"/>
      <c r="U57" s="364">
        <v>5240.54</v>
      </c>
      <c r="V57" s="364">
        <v>0</v>
      </c>
    </row>
    <row r="58" spans="2:22" x14ac:dyDescent="0.25">
      <c r="B58" s="364" t="s">
        <v>305</v>
      </c>
      <c r="C58" s="364" t="s">
        <v>315</v>
      </c>
      <c r="D58" s="364">
        <v>100</v>
      </c>
      <c r="E58" s="364" t="s">
        <v>1405</v>
      </c>
      <c r="F58" s="364" t="s">
        <v>1406</v>
      </c>
      <c r="G58" s="364" t="s">
        <v>1407</v>
      </c>
      <c r="H58" s="364" t="s">
        <v>316</v>
      </c>
      <c r="I58" s="364">
        <v>35</v>
      </c>
      <c r="J58" s="364">
        <v>83101</v>
      </c>
      <c r="K58" s="364">
        <v>1</v>
      </c>
      <c r="L58" s="364">
        <v>7</v>
      </c>
      <c r="M58" s="364">
        <v>4</v>
      </c>
      <c r="N58" s="364" t="s">
        <v>317</v>
      </c>
      <c r="O58" s="364">
        <v>0</v>
      </c>
      <c r="P58" s="364">
        <v>305</v>
      </c>
      <c r="Q58" s="364">
        <v>2</v>
      </c>
      <c r="R58" s="364"/>
      <c r="S58" s="364"/>
      <c r="T58" s="364"/>
      <c r="U58" s="364">
        <v>6508.99</v>
      </c>
      <c r="V58" s="364">
        <v>0</v>
      </c>
    </row>
    <row r="59" spans="2:22" x14ac:dyDescent="0.25">
      <c r="B59" s="364" t="s">
        <v>305</v>
      </c>
      <c r="C59" s="364" t="s">
        <v>315</v>
      </c>
      <c r="D59" s="364">
        <v>100</v>
      </c>
      <c r="E59" s="364" t="s">
        <v>1573</v>
      </c>
      <c r="F59" s="364" t="s">
        <v>1574</v>
      </c>
      <c r="G59" s="364" t="s">
        <v>1575</v>
      </c>
      <c r="H59" s="364" t="s">
        <v>796</v>
      </c>
      <c r="I59" s="364">
        <v>35</v>
      </c>
      <c r="J59" s="364">
        <v>83101</v>
      </c>
      <c r="K59" s="364">
        <v>1</v>
      </c>
      <c r="L59" s="364">
        <v>7</v>
      </c>
      <c r="M59" s="364">
        <v>1</v>
      </c>
      <c r="N59" s="364" t="s">
        <v>765</v>
      </c>
      <c r="O59" s="364">
        <v>0</v>
      </c>
      <c r="P59" s="364">
        <v>306</v>
      </c>
      <c r="Q59" s="364">
        <v>2</v>
      </c>
      <c r="R59" s="364"/>
      <c r="S59" s="364"/>
      <c r="T59" s="364"/>
      <c r="U59" s="364">
        <v>5240.54</v>
      </c>
      <c r="V59" s="364">
        <v>0</v>
      </c>
    </row>
    <row r="60" spans="2:22" x14ac:dyDescent="0.25">
      <c r="B60" s="364" t="s">
        <v>305</v>
      </c>
      <c r="C60" s="364" t="s">
        <v>315</v>
      </c>
      <c r="D60" s="364">
        <v>100</v>
      </c>
      <c r="E60" s="364" t="s">
        <v>354</v>
      </c>
      <c r="F60" s="364" t="s">
        <v>355</v>
      </c>
      <c r="G60" s="364" t="s">
        <v>1068</v>
      </c>
      <c r="H60" s="364" t="s">
        <v>763</v>
      </c>
      <c r="I60" s="364">
        <v>35</v>
      </c>
      <c r="J60" s="364">
        <v>83101</v>
      </c>
      <c r="K60" s="364">
        <v>1</v>
      </c>
      <c r="L60" s="364">
        <v>7</v>
      </c>
      <c r="M60" s="364">
        <v>4</v>
      </c>
      <c r="N60" s="364" t="s">
        <v>764</v>
      </c>
      <c r="O60" s="364">
        <v>0</v>
      </c>
      <c r="P60" s="364">
        <v>307</v>
      </c>
      <c r="Q60" s="364">
        <v>2</v>
      </c>
      <c r="R60" s="364"/>
      <c r="S60" s="364"/>
      <c r="T60" s="364"/>
      <c r="U60" s="364">
        <v>5370.78</v>
      </c>
      <c r="V60" s="364">
        <v>0</v>
      </c>
    </row>
    <row r="61" spans="2:22" x14ac:dyDescent="0.25">
      <c r="B61" s="364" t="s">
        <v>305</v>
      </c>
      <c r="C61" s="364" t="s">
        <v>315</v>
      </c>
      <c r="D61" s="364">
        <v>100</v>
      </c>
      <c r="E61" s="364" t="s">
        <v>416</v>
      </c>
      <c r="F61" s="364" t="s">
        <v>417</v>
      </c>
      <c r="G61" s="364" t="s">
        <v>1000</v>
      </c>
      <c r="H61" s="364" t="s">
        <v>760</v>
      </c>
      <c r="I61" s="364">
        <v>35</v>
      </c>
      <c r="J61" s="364">
        <v>83101</v>
      </c>
      <c r="K61" s="364">
        <v>1</v>
      </c>
      <c r="L61" s="364">
        <v>7</v>
      </c>
      <c r="M61" s="364">
        <v>4</v>
      </c>
      <c r="N61" s="364" t="s">
        <v>761</v>
      </c>
      <c r="O61" s="364">
        <v>0</v>
      </c>
      <c r="P61" s="364">
        <v>308</v>
      </c>
      <c r="Q61" s="364">
        <v>2</v>
      </c>
      <c r="R61" s="364"/>
      <c r="S61" s="364"/>
      <c r="T61" s="364"/>
      <c r="U61" s="364">
        <v>6491.66</v>
      </c>
      <c r="V61" s="364">
        <v>0</v>
      </c>
    </row>
    <row r="62" spans="2:22" x14ac:dyDescent="0.25">
      <c r="B62" s="364" t="s">
        <v>305</v>
      </c>
      <c r="C62" s="364" t="s">
        <v>315</v>
      </c>
      <c r="D62" s="364">
        <v>100</v>
      </c>
      <c r="E62" s="364" t="s">
        <v>1710</v>
      </c>
      <c r="F62" s="364" t="s">
        <v>1711</v>
      </c>
      <c r="G62" s="364" t="s">
        <v>1712</v>
      </c>
      <c r="H62" s="364" t="s">
        <v>763</v>
      </c>
      <c r="I62" s="364">
        <v>35</v>
      </c>
      <c r="J62" s="364">
        <v>83101</v>
      </c>
      <c r="K62" s="364">
        <v>1</v>
      </c>
      <c r="L62" s="364">
        <v>7</v>
      </c>
      <c r="M62" s="364">
        <v>4</v>
      </c>
      <c r="N62" s="364" t="s">
        <v>764</v>
      </c>
      <c r="O62" s="364">
        <v>0</v>
      </c>
      <c r="P62" s="364">
        <v>309</v>
      </c>
      <c r="Q62" s="364">
        <v>2</v>
      </c>
      <c r="R62" s="364"/>
      <c r="S62" s="364"/>
      <c r="T62" s="364"/>
      <c r="U62" s="364">
        <v>5240.54</v>
      </c>
      <c r="V62" s="364">
        <v>0</v>
      </c>
    </row>
    <row r="63" spans="2:22" x14ac:dyDescent="0.25">
      <c r="B63" s="364" t="s">
        <v>305</v>
      </c>
      <c r="C63" s="364" t="s">
        <v>315</v>
      </c>
      <c r="D63" s="364">
        <v>100</v>
      </c>
      <c r="E63" s="364" t="s">
        <v>740</v>
      </c>
      <c r="F63" s="364" t="s">
        <v>741</v>
      </c>
      <c r="G63" s="364" t="s">
        <v>968</v>
      </c>
      <c r="H63" s="364" t="s">
        <v>1370</v>
      </c>
      <c r="I63" s="364">
        <v>35</v>
      </c>
      <c r="J63" s="364">
        <v>83101</v>
      </c>
      <c r="K63" s="364">
        <v>1</v>
      </c>
      <c r="L63" s="364">
        <v>7</v>
      </c>
      <c r="M63" s="364">
        <v>4</v>
      </c>
      <c r="N63" s="364" t="s">
        <v>318</v>
      </c>
      <c r="O63" s="364">
        <v>0</v>
      </c>
      <c r="P63" s="364">
        <v>31</v>
      </c>
      <c r="Q63" s="364">
        <v>2</v>
      </c>
      <c r="R63" s="364"/>
      <c r="S63" s="364"/>
      <c r="T63" s="364"/>
      <c r="U63" s="364">
        <v>12048.68</v>
      </c>
      <c r="V63" s="364">
        <v>0</v>
      </c>
    </row>
    <row r="64" spans="2:22" x14ac:dyDescent="0.25">
      <c r="B64" s="364" t="s">
        <v>305</v>
      </c>
      <c r="C64" s="364" t="s">
        <v>315</v>
      </c>
      <c r="D64" s="364">
        <v>100</v>
      </c>
      <c r="E64" s="364" t="s">
        <v>859</v>
      </c>
      <c r="F64" s="364" t="s">
        <v>860</v>
      </c>
      <c r="G64" s="364" t="s">
        <v>1172</v>
      </c>
      <c r="H64" s="364" t="s">
        <v>796</v>
      </c>
      <c r="I64" s="364">
        <v>35</v>
      </c>
      <c r="J64" s="364">
        <v>83101</v>
      </c>
      <c r="K64" s="364">
        <v>1</v>
      </c>
      <c r="L64" s="364">
        <v>7</v>
      </c>
      <c r="M64" s="364">
        <v>4</v>
      </c>
      <c r="N64" s="364" t="s">
        <v>765</v>
      </c>
      <c r="O64" s="364">
        <v>0</v>
      </c>
      <c r="P64" s="364">
        <v>310</v>
      </c>
      <c r="Q64" s="364">
        <v>2</v>
      </c>
      <c r="R64" s="364"/>
      <c r="S64" s="364"/>
      <c r="T64" s="364"/>
      <c r="U64" s="364">
        <v>7902.91</v>
      </c>
      <c r="V64" s="364">
        <v>0</v>
      </c>
    </row>
    <row r="65" spans="2:22" x14ac:dyDescent="0.25">
      <c r="B65" s="364" t="s">
        <v>305</v>
      </c>
      <c r="C65" s="364" t="s">
        <v>315</v>
      </c>
      <c r="D65" s="364">
        <v>100</v>
      </c>
      <c r="E65" s="364" t="s">
        <v>863</v>
      </c>
      <c r="F65" s="364" t="s">
        <v>864</v>
      </c>
      <c r="G65" s="364" t="s">
        <v>1173</v>
      </c>
      <c r="H65" s="364" t="s">
        <v>756</v>
      </c>
      <c r="I65" s="364">
        <v>35</v>
      </c>
      <c r="J65" s="364">
        <v>83101</v>
      </c>
      <c r="K65" s="364">
        <v>1</v>
      </c>
      <c r="L65" s="364">
        <v>7</v>
      </c>
      <c r="M65" s="364">
        <v>4</v>
      </c>
      <c r="N65" s="364" t="s">
        <v>757</v>
      </c>
      <c r="O65" s="364">
        <v>0</v>
      </c>
      <c r="P65" s="364">
        <v>311</v>
      </c>
      <c r="Q65" s="364">
        <v>2</v>
      </c>
      <c r="R65" s="364"/>
      <c r="S65" s="364"/>
      <c r="T65" s="364"/>
      <c r="U65" s="364">
        <v>5240.54</v>
      </c>
      <c r="V65" s="364">
        <v>0</v>
      </c>
    </row>
    <row r="66" spans="2:22" x14ac:dyDescent="0.25">
      <c r="B66" s="364" t="s">
        <v>305</v>
      </c>
      <c r="C66" s="364" t="s">
        <v>315</v>
      </c>
      <c r="D66" s="364">
        <v>100</v>
      </c>
      <c r="E66" s="364" t="s">
        <v>458</v>
      </c>
      <c r="F66" s="364" t="s">
        <v>459</v>
      </c>
      <c r="G66" s="364" t="s">
        <v>994</v>
      </c>
      <c r="H66" s="364" t="s">
        <v>758</v>
      </c>
      <c r="I66" s="364">
        <v>35</v>
      </c>
      <c r="J66" s="364">
        <v>83101</v>
      </c>
      <c r="K66" s="364">
        <v>1</v>
      </c>
      <c r="L66" s="364">
        <v>7</v>
      </c>
      <c r="M66" s="364">
        <v>4</v>
      </c>
      <c r="N66" s="364" t="s">
        <v>759</v>
      </c>
      <c r="O66" s="364">
        <v>0</v>
      </c>
      <c r="P66" s="364">
        <v>312</v>
      </c>
      <c r="Q66" s="364">
        <v>2</v>
      </c>
      <c r="R66" s="364"/>
      <c r="S66" s="364"/>
      <c r="T66" s="364"/>
      <c r="U66" s="364">
        <v>6749.29</v>
      </c>
      <c r="V66" s="364">
        <v>0</v>
      </c>
    </row>
    <row r="67" spans="2:22" x14ac:dyDescent="0.25">
      <c r="B67" s="364" t="s">
        <v>305</v>
      </c>
      <c r="C67" s="364" t="s">
        <v>315</v>
      </c>
      <c r="D67" s="364">
        <v>100</v>
      </c>
      <c r="E67" s="364" t="s">
        <v>446</v>
      </c>
      <c r="F67" s="364" t="s">
        <v>447</v>
      </c>
      <c r="G67" s="364" t="s">
        <v>988</v>
      </c>
      <c r="H67" s="364" t="s">
        <v>760</v>
      </c>
      <c r="I67" s="364">
        <v>35</v>
      </c>
      <c r="J67" s="364">
        <v>83101</v>
      </c>
      <c r="K67" s="364">
        <v>1</v>
      </c>
      <c r="L67" s="364">
        <v>7</v>
      </c>
      <c r="M67" s="364">
        <v>4</v>
      </c>
      <c r="N67" s="364" t="s">
        <v>761</v>
      </c>
      <c r="O67" s="364">
        <v>0</v>
      </c>
      <c r="P67" s="364">
        <v>313</v>
      </c>
      <c r="Q67" s="364">
        <v>2</v>
      </c>
      <c r="R67" s="364"/>
      <c r="S67" s="364"/>
      <c r="T67" s="364"/>
      <c r="U67" s="364">
        <v>6747.94</v>
      </c>
      <c r="V67" s="364">
        <v>0</v>
      </c>
    </row>
    <row r="68" spans="2:22" x14ac:dyDescent="0.25">
      <c r="B68" s="364" t="s">
        <v>305</v>
      </c>
      <c r="C68" s="364" t="s">
        <v>315</v>
      </c>
      <c r="D68" s="364">
        <v>100</v>
      </c>
      <c r="E68" s="364" t="s">
        <v>580</v>
      </c>
      <c r="F68" s="364" t="s">
        <v>581</v>
      </c>
      <c r="G68" s="364" t="s">
        <v>1093</v>
      </c>
      <c r="H68" s="364" t="s">
        <v>316</v>
      </c>
      <c r="I68" s="364">
        <v>35</v>
      </c>
      <c r="J68" s="364">
        <v>83101</v>
      </c>
      <c r="K68" s="364">
        <v>1</v>
      </c>
      <c r="L68" s="364">
        <v>7</v>
      </c>
      <c r="M68" s="364">
        <v>4</v>
      </c>
      <c r="N68" s="364" t="s">
        <v>317</v>
      </c>
      <c r="O68" s="364">
        <v>0</v>
      </c>
      <c r="P68" s="364">
        <v>314</v>
      </c>
      <c r="Q68" s="364">
        <v>2</v>
      </c>
      <c r="R68" s="364"/>
      <c r="S68" s="364"/>
      <c r="T68" s="364"/>
      <c r="U68" s="364">
        <v>6508.99</v>
      </c>
      <c r="V68" s="364">
        <v>0</v>
      </c>
    </row>
    <row r="69" spans="2:22" x14ac:dyDescent="0.25">
      <c r="B69" s="364" t="s">
        <v>305</v>
      </c>
      <c r="C69" s="364" t="s">
        <v>315</v>
      </c>
      <c r="D69" s="364">
        <v>100</v>
      </c>
      <c r="E69" s="364" t="s">
        <v>395</v>
      </c>
      <c r="F69" s="364" t="s">
        <v>396</v>
      </c>
      <c r="G69" s="364" t="s">
        <v>1003</v>
      </c>
      <c r="H69" s="364" t="s">
        <v>796</v>
      </c>
      <c r="I69" s="364">
        <v>35</v>
      </c>
      <c r="J69" s="364">
        <v>83101</v>
      </c>
      <c r="K69" s="364">
        <v>1</v>
      </c>
      <c r="L69" s="364">
        <v>7</v>
      </c>
      <c r="M69" s="364">
        <v>4</v>
      </c>
      <c r="N69" s="364" t="s">
        <v>765</v>
      </c>
      <c r="O69" s="364">
        <v>0</v>
      </c>
      <c r="P69" s="364">
        <v>315</v>
      </c>
      <c r="Q69" s="364">
        <v>2</v>
      </c>
      <c r="R69" s="364"/>
      <c r="S69" s="364"/>
      <c r="T69" s="364"/>
      <c r="U69" s="364">
        <v>6586</v>
      </c>
      <c r="V69" s="364">
        <v>0</v>
      </c>
    </row>
    <row r="70" spans="2:22" x14ac:dyDescent="0.25">
      <c r="B70" s="364" t="s">
        <v>305</v>
      </c>
      <c r="C70" s="364" t="s">
        <v>315</v>
      </c>
      <c r="D70" s="364">
        <v>100</v>
      </c>
      <c r="E70" s="364" t="s">
        <v>711</v>
      </c>
      <c r="F70" s="364" t="s">
        <v>712</v>
      </c>
      <c r="G70" s="364" t="s">
        <v>1096</v>
      </c>
      <c r="H70" s="364" t="s">
        <v>316</v>
      </c>
      <c r="I70" s="364">
        <v>35</v>
      </c>
      <c r="J70" s="364">
        <v>83101</v>
      </c>
      <c r="K70" s="364">
        <v>1</v>
      </c>
      <c r="L70" s="364">
        <v>7</v>
      </c>
      <c r="M70" s="364">
        <v>4</v>
      </c>
      <c r="N70" s="364" t="s">
        <v>317</v>
      </c>
      <c r="O70" s="364">
        <v>0</v>
      </c>
      <c r="P70" s="364">
        <v>316</v>
      </c>
      <c r="Q70" s="364">
        <v>2</v>
      </c>
      <c r="R70" s="364"/>
      <c r="S70" s="364"/>
      <c r="T70" s="364"/>
      <c r="U70" s="364">
        <v>6089.62</v>
      </c>
      <c r="V70" s="364">
        <v>0</v>
      </c>
    </row>
    <row r="71" spans="2:22" x14ac:dyDescent="0.25">
      <c r="B71" s="364" t="s">
        <v>305</v>
      </c>
      <c r="C71" s="364" t="s">
        <v>315</v>
      </c>
      <c r="D71" s="364">
        <v>100</v>
      </c>
      <c r="E71" s="364" t="s">
        <v>346</v>
      </c>
      <c r="F71" s="364" t="s">
        <v>347</v>
      </c>
      <c r="G71" s="364" t="s">
        <v>1114</v>
      </c>
      <c r="H71" s="364" t="s">
        <v>763</v>
      </c>
      <c r="I71" s="364">
        <v>35</v>
      </c>
      <c r="J71" s="364">
        <v>83101</v>
      </c>
      <c r="K71" s="364">
        <v>1</v>
      </c>
      <c r="L71" s="364">
        <v>7</v>
      </c>
      <c r="M71" s="364">
        <v>4</v>
      </c>
      <c r="N71" s="364" t="s">
        <v>764</v>
      </c>
      <c r="O71" s="364">
        <v>0</v>
      </c>
      <c r="P71" s="364">
        <v>317</v>
      </c>
      <c r="Q71" s="364">
        <v>2</v>
      </c>
      <c r="R71" s="364"/>
      <c r="S71" s="364"/>
      <c r="T71" s="364"/>
      <c r="U71" s="364">
        <v>5397.92</v>
      </c>
      <c r="V71" s="364">
        <v>0</v>
      </c>
    </row>
    <row r="72" spans="2:22" x14ac:dyDescent="0.25">
      <c r="B72" s="364" t="s">
        <v>305</v>
      </c>
      <c r="C72" s="364" t="s">
        <v>315</v>
      </c>
      <c r="D72" s="364">
        <v>100</v>
      </c>
      <c r="E72" s="364" t="s">
        <v>871</v>
      </c>
      <c r="F72" s="364" t="s">
        <v>872</v>
      </c>
      <c r="G72" s="364" t="s">
        <v>1154</v>
      </c>
      <c r="H72" s="364" t="s">
        <v>758</v>
      </c>
      <c r="I72" s="364">
        <v>35</v>
      </c>
      <c r="J72" s="364">
        <v>83101</v>
      </c>
      <c r="K72" s="364">
        <v>1</v>
      </c>
      <c r="L72" s="364">
        <v>7</v>
      </c>
      <c r="M72" s="364">
        <v>9</v>
      </c>
      <c r="N72" s="364" t="s">
        <v>759</v>
      </c>
      <c r="O72" s="364">
        <v>0</v>
      </c>
      <c r="P72" s="364">
        <v>318</v>
      </c>
      <c r="Q72" s="364">
        <v>2</v>
      </c>
      <c r="R72" s="364"/>
      <c r="S72" s="364"/>
      <c r="T72" s="364"/>
      <c r="U72" s="364">
        <v>6616.05</v>
      </c>
      <c r="V72" s="364">
        <v>0</v>
      </c>
    </row>
    <row r="73" spans="2:22" x14ac:dyDescent="0.25">
      <c r="B73" s="364" t="s">
        <v>305</v>
      </c>
      <c r="C73" s="364" t="s">
        <v>315</v>
      </c>
      <c r="D73" s="364">
        <v>100</v>
      </c>
      <c r="E73" s="364" t="s">
        <v>840</v>
      </c>
      <c r="F73" s="364" t="s">
        <v>841</v>
      </c>
      <c r="G73" s="364" t="s">
        <v>1142</v>
      </c>
      <c r="H73" s="364" t="s">
        <v>316</v>
      </c>
      <c r="I73" s="364">
        <v>35</v>
      </c>
      <c r="J73" s="364">
        <v>83101</v>
      </c>
      <c r="K73" s="364">
        <v>1</v>
      </c>
      <c r="L73" s="364">
        <v>7</v>
      </c>
      <c r="M73" s="364">
        <v>4</v>
      </c>
      <c r="N73" s="364" t="s">
        <v>317</v>
      </c>
      <c r="O73" s="364">
        <v>0</v>
      </c>
      <c r="P73" s="364">
        <v>319</v>
      </c>
      <c r="Q73" s="364">
        <v>2</v>
      </c>
      <c r="R73" s="364"/>
      <c r="S73" s="364"/>
      <c r="T73" s="364"/>
      <c r="U73" s="364">
        <v>6508.99</v>
      </c>
      <c r="V73" s="364">
        <v>0</v>
      </c>
    </row>
    <row r="74" spans="2:22" x14ac:dyDescent="0.25">
      <c r="B74" s="364" t="s">
        <v>305</v>
      </c>
      <c r="C74" s="364" t="s">
        <v>315</v>
      </c>
      <c r="D74" s="364">
        <v>100</v>
      </c>
      <c r="E74" s="364" t="s">
        <v>454</v>
      </c>
      <c r="F74" s="364" t="s">
        <v>455</v>
      </c>
      <c r="G74" s="364" t="s">
        <v>998</v>
      </c>
      <c r="H74" s="364" t="s">
        <v>760</v>
      </c>
      <c r="I74" s="364">
        <v>35</v>
      </c>
      <c r="J74" s="364">
        <v>83101</v>
      </c>
      <c r="K74" s="364">
        <v>1</v>
      </c>
      <c r="L74" s="364">
        <v>7</v>
      </c>
      <c r="M74" s="364">
        <v>4</v>
      </c>
      <c r="N74" s="364" t="s">
        <v>761</v>
      </c>
      <c r="O74" s="364">
        <v>0</v>
      </c>
      <c r="P74" s="364">
        <v>33</v>
      </c>
      <c r="Q74" s="364">
        <v>2</v>
      </c>
      <c r="R74" s="364"/>
      <c r="S74" s="364"/>
      <c r="T74" s="364"/>
      <c r="U74" s="364">
        <v>6681.08</v>
      </c>
      <c r="V74" s="364">
        <v>0</v>
      </c>
    </row>
    <row r="75" spans="2:22" x14ac:dyDescent="0.25">
      <c r="B75" s="364" t="s">
        <v>305</v>
      </c>
      <c r="C75" s="364" t="s">
        <v>315</v>
      </c>
      <c r="D75" s="364">
        <v>100</v>
      </c>
      <c r="E75" s="364" t="s">
        <v>907</v>
      </c>
      <c r="F75" s="364" t="s">
        <v>1404</v>
      </c>
      <c r="G75" s="364" t="s">
        <v>1158</v>
      </c>
      <c r="H75" s="364" t="s">
        <v>766</v>
      </c>
      <c r="I75" s="364">
        <v>35</v>
      </c>
      <c r="J75" s="364">
        <v>83101</v>
      </c>
      <c r="K75" s="364">
        <v>1</v>
      </c>
      <c r="L75" s="364">
        <v>7</v>
      </c>
      <c r="M75" s="364">
        <v>1</v>
      </c>
      <c r="N75" s="364" t="s">
        <v>767</v>
      </c>
      <c r="O75" s="364">
        <v>0</v>
      </c>
      <c r="P75" s="364">
        <v>34</v>
      </c>
      <c r="Q75" s="364">
        <v>2</v>
      </c>
      <c r="R75" s="364"/>
      <c r="S75" s="364"/>
      <c r="T75" s="364"/>
      <c r="U75" s="364">
        <v>13019.87</v>
      </c>
      <c r="V75" s="364">
        <v>0</v>
      </c>
    </row>
    <row r="76" spans="2:22" x14ac:dyDescent="0.25">
      <c r="B76" s="364" t="s">
        <v>305</v>
      </c>
      <c r="C76" s="364" t="s">
        <v>315</v>
      </c>
      <c r="D76" s="364">
        <v>100</v>
      </c>
      <c r="E76" s="364" t="s">
        <v>1468</v>
      </c>
      <c r="F76" s="364" t="s">
        <v>1469</v>
      </c>
      <c r="G76" s="364" t="s">
        <v>1470</v>
      </c>
      <c r="H76" s="364" t="s">
        <v>756</v>
      </c>
      <c r="I76" s="364">
        <v>35</v>
      </c>
      <c r="J76" s="364">
        <v>83101</v>
      </c>
      <c r="K76" s="364">
        <v>1</v>
      </c>
      <c r="L76" s="364">
        <v>7</v>
      </c>
      <c r="M76" s="364">
        <v>4</v>
      </c>
      <c r="N76" s="364" t="s">
        <v>757</v>
      </c>
      <c r="O76" s="364">
        <v>0</v>
      </c>
      <c r="P76" s="364">
        <v>35</v>
      </c>
      <c r="Q76" s="364">
        <v>2</v>
      </c>
      <c r="R76" s="364"/>
      <c r="S76" s="364"/>
      <c r="T76" s="364"/>
      <c r="U76" s="364">
        <v>5240.54</v>
      </c>
      <c r="V76" s="364">
        <v>0</v>
      </c>
    </row>
    <row r="77" spans="2:22" x14ac:dyDescent="0.25">
      <c r="B77" s="364" t="s">
        <v>305</v>
      </c>
      <c r="C77" s="364" t="s">
        <v>315</v>
      </c>
      <c r="D77" s="364">
        <v>100</v>
      </c>
      <c r="E77" s="364" t="s">
        <v>535</v>
      </c>
      <c r="F77" s="364" t="s">
        <v>536</v>
      </c>
      <c r="G77" s="364" t="s">
        <v>1031</v>
      </c>
      <c r="H77" s="364" t="s">
        <v>316</v>
      </c>
      <c r="I77" s="364">
        <v>35</v>
      </c>
      <c r="J77" s="364">
        <v>83101</v>
      </c>
      <c r="K77" s="364">
        <v>1</v>
      </c>
      <c r="L77" s="364">
        <v>7</v>
      </c>
      <c r="M77" s="364">
        <v>4</v>
      </c>
      <c r="N77" s="364" t="s">
        <v>317</v>
      </c>
      <c r="O77" s="364">
        <v>0</v>
      </c>
      <c r="P77" s="364">
        <v>36</v>
      </c>
      <c r="Q77" s="364">
        <v>2</v>
      </c>
      <c r="R77" s="364"/>
      <c r="S77" s="364"/>
      <c r="T77" s="364"/>
      <c r="U77" s="364">
        <v>7487.11</v>
      </c>
      <c r="V77" s="364">
        <v>0</v>
      </c>
    </row>
    <row r="78" spans="2:22" x14ac:dyDescent="0.25">
      <c r="B78" s="364" t="s">
        <v>305</v>
      </c>
      <c r="C78" s="364" t="s">
        <v>315</v>
      </c>
      <c r="D78" s="364">
        <v>100</v>
      </c>
      <c r="E78" s="364" t="s">
        <v>686</v>
      </c>
      <c r="F78" s="364" t="s">
        <v>687</v>
      </c>
      <c r="G78" s="364" t="s">
        <v>1087</v>
      </c>
      <c r="H78" s="364" t="s">
        <v>316</v>
      </c>
      <c r="I78" s="364">
        <v>35</v>
      </c>
      <c r="J78" s="364">
        <v>83101</v>
      </c>
      <c r="K78" s="364">
        <v>1</v>
      </c>
      <c r="L78" s="364">
        <v>7</v>
      </c>
      <c r="M78" s="364">
        <v>4</v>
      </c>
      <c r="N78" s="364" t="s">
        <v>317</v>
      </c>
      <c r="O78" s="364">
        <v>0</v>
      </c>
      <c r="P78" s="364">
        <v>37</v>
      </c>
      <c r="Q78" s="364">
        <v>2</v>
      </c>
      <c r="R78" s="364"/>
      <c r="S78" s="364"/>
      <c r="T78" s="364"/>
      <c r="U78" s="364">
        <v>8605.83</v>
      </c>
      <c r="V78" s="364">
        <v>0</v>
      </c>
    </row>
    <row r="79" spans="2:22" x14ac:dyDescent="0.25">
      <c r="B79" s="364" t="s">
        <v>305</v>
      </c>
      <c r="C79" s="364" t="s">
        <v>315</v>
      </c>
      <c r="D79" s="364">
        <v>100</v>
      </c>
      <c r="E79" s="364" t="s">
        <v>565</v>
      </c>
      <c r="F79" s="364" t="s">
        <v>566</v>
      </c>
      <c r="G79" s="364" t="s">
        <v>1012</v>
      </c>
      <c r="H79" s="364" t="s">
        <v>316</v>
      </c>
      <c r="I79" s="364">
        <v>35</v>
      </c>
      <c r="J79" s="364">
        <v>83101</v>
      </c>
      <c r="K79" s="364">
        <v>1</v>
      </c>
      <c r="L79" s="364">
        <v>7</v>
      </c>
      <c r="M79" s="364">
        <v>4</v>
      </c>
      <c r="N79" s="364" t="s">
        <v>317</v>
      </c>
      <c r="O79" s="364">
        <v>0</v>
      </c>
      <c r="P79" s="364">
        <v>38</v>
      </c>
      <c r="Q79" s="364">
        <v>2</v>
      </c>
      <c r="R79" s="364"/>
      <c r="S79" s="364"/>
      <c r="T79" s="364"/>
      <c r="U79" s="364">
        <v>7876.09</v>
      </c>
      <c r="V79" s="364">
        <v>0</v>
      </c>
    </row>
    <row r="80" spans="2:22" x14ac:dyDescent="0.25">
      <c r="B80" s="364" t="s">
        <v>305</v>
      </c>
      <c r="C80" s="364" t="s">
        <v>315</v>
      </c>
      <c r="D80" s="364">
        <v>100</v>
      </c>
      <c r="E80" s="364" t="s">
        <v>1702</v>
      </c>
      <c r="F80" s="364" t="s">
        <v>1703</v>
      </c>
      <c r="G80" s="364" t="s">
        <v>1727</v>
      </c>
      <c r="H80" s="364" t="s">
        <v>316</v>
      </c>
      <c r="I80" s="364">
        <v>35</v>
      </c>
      <c r="J80" s="364">
        <v>83101</v>
      </c>
      <c r="K80" s="364">
        <v>1</v>
      </c>
      <c r="L80" s="364">
        <v>7</v>
      </c>
      <c r="M80" s="364">
        <v>4</v>
      </c>
      <c r="N80" s="364" t="s">
        <v>317</v>
      </c>
      <c r="O80" s="364">
        <v>0</v>
      </c>
      <c r="P80" s="364">
        <v>39</v>
      </c>
      <c r="Q80" s="364">
        <v>2</v>
      </c>
      <c r="R80" s="364"/>
      <c r="S80" s="364"/>
      <c r="T80" s="364"/>
      <c r="U80" s="364">
        <v>6089.62</v>
      </c>
      <c r="V80" s="364">
        <v>0</v>
      </c>
    </row>
    <row r="81" spans="2:22" x14ac:dyDescent="0.25">
      <c r="B81" s="364" t="s">
        <v>305</v>
      </c>
      <c r="C81" s="364" t="s">
        <v>315</v>
      </c>
      <c r="D81" s="364">
        <v>100</v>
      </c>
      <c r="E81" s="364" t="s">
        <v>850</v>
      </c>
      <c r="F81" s="364" t="s">
        <v>851</v>
      </c>
      <c r="G81" s="364" t="s">
        <v>1148</v>
      </c>
      <c r="H81" s="364" t="s">
        <v>316</v>
      </c>
      <c r="I81" s="364">
        <v>35</v>
      </c>
      <c r="J81" s="364">
        <v>83101</v>
      </c>
      <c r="K81" s="364">
        <v>1</v>
      </c>
      <c r="L81" s="364">
        <v>7</v>
      </c>
      <c r="M81" s="364">
        <v>4</v>
      </c>
      <c r="N81" s="364" t="s">
        <v>317</v>
      </c>
      <c r="O81" s="364">
        <v>0</v>
      </c>
      <c r="P81" s="364">
        <v>41</v>
      </c>
      <c r="Q81" s="364">
        <v>2</v>
      </c>
      <c r="R81" s="364"/>
      <c r="S81" s="364"/>
      <c r="T81" s="364"/>
      <c r="U81" s="364">
        <v>6508.99</v>
      </c>
      <c r="V81" s="364">
        <v>0</v>
      </c>
    </row>
    <row r="82" spans="2:22" x14ac:dyDescent="0.25">
      <c r="B82" s="364" t="s">
        <v>305</v>
      </c>
      <c r="C82" s="364" t="s">
        <v>315</v>
      </c>
      <c r="D82" s="364">
        <v>100</v>
      </c>
      <c r="E82" s="364" t="s">
        <v>382</v>
      </c>
      <c r="F82" s="364" t="s">
        <v>383</v>
      </c>
      <c r="G82" s="364" t="s">
        <v>960</v>
      </c>
      <c r="H82" s="364" t="s">
        <v>796</v>
      </c>
      <c r="I82" s="364">
        <v>35</v>
      </c>
      <c r="J82" s="364">
        <v>83101</v>
      </c>
      <c r="K82" s="364">
        <v>1</v>
      </c>
      <c r="L82" s="364">
        <v>7</v>
      </c>
      <c r="M82" s="364">
        <v>4</v>
      </c>
      <c r="N82" s="364" t="s">
        <v>765</v>
      </c>
      <c r="O82" s="364">
        <v>0</v>
      </c>
      <c r="P82" s="364">
        <v>42</v>
      </c>
      <c r="Q82" s="364">
        <v>2</v>
      </c>
      <c r="R82" s="364"/>
      <c r="S82" s="364"/>
      <c r="T82" s="364"/>
      <c r="U82" s="364">
        <v>6748.79</v>
      </c>
      <c r="V82" s="364">
        <v>0</v>
      </c>
    </row>
    <row r="83" spans="2:22" x14ac:dyDescent="0.25">
      <c r="B83" s="364" t="s">
        <v>305</v>
      </c>
      <c r="C83" s="364" t="s">
        <v>315</v>
      </c>
      <c r="D83" s="364">
        <v>100</v>
      </c>
      <c r="E83" s="364" t="s">
        <v>1707</v>
      </c>
      <c r="F83" s="364" t="s">
        <v>1708</v>
      </c>
      <c r="G83" s="364" t="s">
        <v>1709</v>
      </c>
      <c r="H83" s="364" t="s">
        <v>796</v>
      </c>
      <c r="I83" s="364">
        <v>35</v>
      </c>
      <c r="J83" s="364">
        <v>83101</v>
      </c>
      <c r="K83" s="364">
        <v>1</v>
      </c>
      <c r="L83" s="364">
        <v>7</v>
      </c>
      <c r="M83" s="364">
        <v>4</v>
      </c>
      <c r="N83" s="364" t="s">
        <v>765</v>
      </c>
      <c r="O83" s="364">
        <v>0</v>
      </c>
      <c r="P83" s="364">
        <v>43</v>
      </c>
      <c r="Q83" s="364">
        <v>2</v>
      </c>
      <c r="R83" s="364"/>
      <c r="S83" s="364"/>
      <c r="T83" s="364"/>
      <c r="U83" s="364">
        <v>5240.54</v>
      </c>
      <c r="V83" s="364">
        <v>0</v>
      </c>
    </row>
    <row r="84" spans="2:22" x14ac:dyDescent="0.25">
      <c r="B84" s="364" t="s">
        <v>305</v>
      </c>
      <c r="C84" s="364" t="s">
        <v>315</v>
      </c>
      <c r="D84" s="364">
        <v>100</v>
      </c>
      <c r="E84" s="364" t="s">
        <v>734</v>
      </c>
      <c r="F84" s="364" t="s">
        <v>735</v>
      </c>
      <c r="G84" s="364" t="s">
        <v>1079</v>
      </c>
      <c r="H84" s="364" t="s">
        <v>1370</v>
      </c>
      <c r="I84" s="364">
        <v>35</v>
      </c>
      <c r="J84" s="364">
        <v>83101</v>
      </c>
      <c r="K84" s="364">
        <v>1</v>
      </c>
      <c r="L84" s="364">
        <v>7</v>
      </c>
      <c r="M84" s="364">
        <v>7</v>
      </c>
      <c r="N84" s="364" t="s">
        <v>318</v>
      </c>
      <c r="O84" s="364">
        <v>0</v>
      </c>
      <c r="P84" s="364">
        <v>45</v>
      </c>
      <c r="Q84" s="364">
        <v>2</v>
      </c>
      <c r="R84" s="364"/>
      <c r="S84" s="364"/>
      <c r="T84" s="364"/>
      <c r="U84" s="364">
        <v>11918.68</v>
      </c>
      <c r="V84" s="364">
        <v>0</v>
      </c>
    </row>
    <row r="85" spans="2:22" x14ac:dyDescent="0.25">
      <c r="B85" s="364" t="s">
        <v>305</v>
      </c>
      <c r="C85" s="364" t="s">
        <v>315</v>
      </c>
      <c r="D85" s="364">
        <v>100</v>
      </c>
      <c r="E85" s="364" t="s">
        <v>810</v>
      </c>
      <c r="F85" s="364" t="s">
        <v>811</v>
      </c>
      <c r="G85" s="364" t="s">
        <v>1146</v>
      </c>
      <c r="H85" s="364" t="s">
        <v>763</v>
      </c>
      <c r="I85" s="364">
        <v>35</v>
      </c>
      <c r="J85" s="364">
        <v>83101</v>
      </c>
      <c r="K85" s="364">
        <v>1</v>
      </c>
      <c r="L85" s="364">
        <v>7</v>
      </c>
      <c r="M85" s="364">
        <v>4</v>
      </c>
      <c r="N85" s="364" t="s">
        <v>764</v>
      </c>
      <c r="O85" s="364">
        <v>0</v>
      </c>
      <c r="P85" s="364">
        <v>46</v>
      </c>
      <c r="Q85" s="364">
        <v>2</v>
      </c>
      <c r="R85" s="364"/>
      <c r="S85" s="364"/>
      <c r="T85" s="364"/>
      <c r="U85" s="364">
        <v>6032.48</v>
      </c>
      <c r="V85" s="364">
        <v>0</v>
      </c>
    </row>
    <row r="86" spans="2:22" x14ac:dyDescent="0.25">
      <c r="B86" s="364" t="s">
        <v>305</v>
      </c>
      <c r="C86" s="364" t="s">
        <v>315</v>
      </c>
      <c r="D86" s="364">
        <v>100</v>
      </c>
      <c r="E86" s="364" t="s">
        <v>1753</v>
      </c>
      <c r="F86" s="364" t="s">
        <v>1754</v>
      </c>
      <c r="G86" s="364" t="s">
        <v>1755</v>
      </c>
      <c r="H86" s="364" t="s">
        <v>1370</v>
      </c>
      <c r="I86" s="364">
        <v>35</v>
      </c>
      <c r="J86" s="364">
        <v>83101</v>
      </c>
      <c r="K86" s="364">
        <v>1</v>
      </c>
      <c r="L86" s="364">
        <v>7</v>
      </c>
      <c r="M86" s="364">
        <v>4</v>
      </c>
      <c r="N86" s="364" t="s">
        <v>318</v>
      </c>
      <c r="O86" s="364">
        <v>0</v>
      </c>
      <c r="P86" s="364">
        <v>47</v>
      </c>
      <c r="Q86" s="364">
        <v>2</v>
      </c>
      <c r="R86" s="364"/>
      <c r="S86" s="364"/>
      <c r="T86" s="364"/>
      <c r="U86" s="364">
        <v>11918.68</v>
      </c>
      <c r="V86" s="364">
        <v>0</v>
      </c>
    </row>
    <row r="87" spans="2:22" x14ac:dyDescent="0.25">
      <c r="B87" s="364" t="s">
        <v>305</v>
      </c>
      <c r="C87" s="364" t="s">
        <v>315</v>
      </c>
      <c r="D87" s="364">
        <v>100</v>
      </c>
      <c r="E87" s="364" t="s">
        <v>675</v>
      </c>
      <c r="F87" s="364" t="s">
        <v>676</v>
      </c>
      <c r="G87" s="364" t="s">
        <v>1090</v>
      </c>
      <c r="H87" s="364" t="s">
        <v>316</v>
      </c>
      <c r="I87" s="364">
        <v>35</v>
      </c>
      <c r="J87" s="364">
        <v>83101</v>
      </c>
      <c r="K87" s="364">
        <v>1</v>
      </c>
      <c r="L87" s="364">
        <v>7</v>
      </c>
      <c r="M87" s="364">
        <v>4</v>
      </c>
      <c r="N87" s="364" t="s">
        <v>317</v>
      </c>
      <c r="O87" s="364">
        <v>0</v>
      </c>
      <c r="P87" s="364">
        <v>48</v>
      </c>
      <c r="Q87" s="364">
        <v>2</v>
      </c>
      <c r="R87" s="364"/>
      <c r="S87" s="364"/>
      <c r="T87" s="364"/>
      <c r="U87" s="364">
        <v>6089.62</v>
      </c>
      <c r="V87" s="364">
        <v>0</v>
      </c>
    </row>
    <row r="88" spans="2:22" x14ac:dyDescent="0.25">
      <c r="B88" s="364" t="s">
        <v>305</v>
      </c>
      <c r="C88" s="364" t="s">
        <v>315</v>
      </c>
      <c r="D88" s="364">
        <v>100</v>
      </c>
      <c r="E88" s="364" t="s">
        <v>901</v>
      </c>
      <c r="F88" s="364" t="s">
        <v>902</v>
      </c>
      <c r="G88" s="364" t="s">
        <v>1149</v>
      </c>
      <c r="H88" s="364" t="s">
        <v>1392</v>
      </c>
      <c r="I88" s="364">
        <v>35</v>
      </c>
      <c r="J88" s="364">
        <v>83101</v>
      </c>
      <c r="K88" s="364">
        <v>1</v>
      </c>
      <c r="L88" s="364">
        <v>7</v>
      </c>
      <c r="M88" s="364">
        <v>2</v>
      </c>
      <c r="N88" s="364" t="s">
        <v>1759</v>
      </c>
      <c r="O88" s="364">
        <v>0</v>
      </c>
      <c r="P88" s="364">
        <v>49</v>
      </c>
      <c r="Q88" s="364">
        <v>2</v>
      </c>
      <c r="R88" s="364"/>
      <c r="S88" s="364"/>
      <c r="T88" s="364"/>
      <c r="U88" s="364">
        <v>8564.85</v>
      </c>
      <c r="V88" s="364">
        <v>0</v>
      </c>
    </row>
    <row r="89" spans="2:22" x14ac:dyDescent="0.25">
      <c r="B89" s="364" t="s">
        <v>305</v>
      </c>
      <c r="C89" s="364" t="s">
        <v>315</v>
      </c>
      <c r="D89" s="364">
        <v>100</v>
      </c>
      <c r="E89" s="364" t="s">
        <v>389</v>
      </c>
      <c r="F89" s="364" t="s">
        <v>390</v>
      </c>
      <c r="G89" s="364" t="s">
        <v>1058</v>
      </c>
      <c r="H89" s="364" t="s">
        <v>796</v>
      </c>
      <c r="I89" s="364">
        <v>35</v>
      </c>
      <c r="J89" s="364">
        <v>83101</v>
      </c>
      <c r="K89" s="364">
        <v>1</v>
      </c>
      <c r="L89" s="364">
        <v>7</v>
      </c>
      <c r="M89" s="364">
        <v>4</v>
      </c>
      <c r="N89" s="364" t="s">
        <v>765</v>
      </c>
      <c r="O89" s="364">
        <v>0</v>
      </c>
      <c r="P89" s="364">
        <v>51</v>
      </c>
      <c r="Q89" s="364">
        <v>2</v>
      </c>
      <c r="R89" s="364"/>
      <c r="S89" s="364"/>
      <c r="T89" s="364"/>
      <c r="U89" s="364">
        <v>5810.34</v>
      </c>
      <c r="V89" s="364">
        <v>0</v>
      </c>
    </row>
    <row r="90" spans="2:22" x14ac:dyDescent="0.25">
      <c r="B90" s="364" t="s">
        <v>305</v>
      </c>
      <c r="C90" s="364" t="s">
        <v>315</v>
      </c>
      <c r="D90" s="364">
        <v>100</v>
      </c>
      <c r="E90" s="364" t="s">
        <v>818</v>
      </c>
      <c r="F90" s="364" t="s">
        <v>819</v>
      </c>
      <c r="G90" s="364" t="s">
        <v>1115</v>
      </c>
      <c r="H90" s="364" t="s">
        <v>756</v>
      </c>
      <c r="I90" s="364">
        <v>35</v>
      </c>
      <c r="J90" s="364">
        <v>83101</v>
      </c>
      <c r="K90" s="364">
        <v>1</v>
      </c>
      <c r="L90" s="364">
        <v>7</v>
      </c>
      <c r="M90" s="364">
        <v>4</v>
      </c>
      <c r="N90" s="364" t="s">
        <v>757</v>
      </c>
      <c r="O90" s="364">
        <v>0</v>
      </c>
      <c r="P90" s="364">
        <v>52</v>
      </c>
      <c r="Q90" s="364">
        <v>2</v>
      </c>
      <c r="R90" s="364"/>
      <c r="S90" s="364"/>
      <c r="T90" s="364"/>
      <c r="U90" s="364">
        <v>5240.54</v>
      </c>
      <c r="V90" s="364">
        <v>0</v>
      </c>
    </row>
    <row r="91" spans="2:22" x14ac:dyDescent="0.25">
      <c r="B91" s="364" t="s">
        <v>305</v>
      </c>
      <c r="C91" s="364" t="s">
        <v>315</v>
      </c>
      <c r="D91" s="364">
        <v>100</v>
      </c>
      <c r="E91" s="364" t="s">
        <v>397</v>
      </c>
      <c r="F91" s="364" t="s">
        <v>398</v>
      </c>
      <c r="G91" s="364" t="s">
        <v>1099</v>
      </c>
      <c r="H91" s="364" t="s">
        <v>796</v>
      </c>
      <c r="I91" s="364">
        <v>35</v>
      </c>
      <c r="J91" s="364">
        <v>83101</v>
      </c>
      <c r="K91" s="364">
        <v>1</v>
      </c>
      <c r="L91" s="364">
        <v>7</v>
      </c>
      <c r="M91" s="364">
        <v>4</v>
      </c>
      <c r="N91" s="364" t="s">
        <v>765</v>
      </c>
      <c r="O91" s="364">
        <v>0</v>
      </c>
      <c r="P91" s="364">
        <v>53</v>
      </c>
      <c r="Q91" s="364">
        <v>2</v>
      </c>
      <c r="R91" s="364"/>
      <c r="S91" s="364"/>
      <c r="T91" s="364"/>
      <c r="U91" s="364">
        <v>6032.48</v>
      </c>
      <c r="V91" s="364">
        <v>0</v>
      </c>
    </row>
    <row r="92" spans="2:22" x14ac:dyDescent="0.25">
      <c r="B92" s="364" t="s">
        <v>305</v>
      </c>
      <c r="C92" s="364" t="s">
        <v>315</v>
      </c>
      <c r="D92" s="364">
        <v>100</v>
      </c>
      <c r="E92" s="364" t="s">
        <v>1682</v>
      </c>
      <c r="F92" s="364" t="s">
        <v>1683</v>
      </c>
      <c r="G92" s="364" t="s">
        <v>1731</v>
      </c>
      <c r="H92" s="364" t="s">
        <v>316</v>
      </c>
      <c r="I92" s="364">
        <v>35</v>
      </c>
      <c r="J92" s="364">
        <v>83101</v>
      </c>
      <c r="K92" s="364">
        <v>1</v>
      </c>
      <c r="L92" s="364">
        <v>7</v>
      </c>
      <c r="M92" s="364">
        <v>4</v>
      </c>
      <c r="N92" s="364" t="s">
        <v>317</v>
      </c>
      <c r="O92" s="364">
        <v>0</v>
      </c>
      <c r="P92" s="364">
        <v>54</v>
      </c>
      <c r="Q92" s="364">
        <v>2</v>
      </c>
      <c r="R92" s="364"/>
      <c r="S92" s="364"/>
      <c r="T92" s="364"/>
      <c r="U92" s="364">
        <v>6089.62</v>
      </c>
      <c r="V92" s="364">
        <v>0</v>
      </c>
    </row>
    <row r="93" spans="2:22" x14ac:dyDescent="0.25">
      <c r="B93" s="364" t="s">
        <v>305</v>
      </c>
      <c r="C93" s="364" t="s">
        <v>315</v>
      </c>
      <c r="D93" s="364">
        <v>100</v>
      </c>
      <c r="E93" s="364" t="s">
        <v>340</v>
      </c>
      <c r="F93" s="364" t="s">
        <v>341</v>
      </c>
      <c r="G93" s="364" t="s">
        <v>1120</v>
      </c>
      <c r="H93" s="364" t="s">
        <v>763</v>
      </c>
      <c r="I93" s="364">
        <v>35</v>
      </c>
      <c r="J93" s="364">
        <v>83101</v>
      </c>
      <c r="K93" s="364">
        <v>1</v>
      </c>
      <c r="L93" s="364">
        <v>7</v>
      </c>
      <c r="M93" s="364">
        <v>4</v>
      </c>
      <c r="N93" s="364" t="s">
        <v>764</v>
      </c>
      <c r="O93" s="364">
        <v>0</v>
      </c>
      <c r="P93" s="364">
        <v>55</v>
      </c>
      <c r="Q93" s="364">
        <v>2</v>
      </c>
      <c r="R93" s="364"/>
      <c r="S93" s="364"/>
      <c r="T93" s="364"/>
      <c r="U93" s="364">
        <v>5023.4799999999996</v>
      </c>
      <c r="V93" s="364">
        <v>0</v>
      </c>
    </row>
    <row r="94" spans="2:22" x14ac:dyDescent="0.25">
      <c r="B94" s="364" t="s">
        <v>305</v>
      </c>
      <c r="C94" s="364" t="s">
        <v>315</v>
      </c>
      <c r="D94" s="364">
        <v>100</v>
      </c>
      <c r="E94" s="364" t="s">
        <v>399</v>
      </c>
      <c r="F94" s="364" t="s">
        <v>817</v>
      </c>
      <c r="G94" s="364" t="s">
        <v>1100</v>
      </c>
      <c r="H94" s="364" t="s">
        <v>796</v>
      </c>
      <c r="I94" s="364">
        <v>35</v>
      </c>
      <c r="J94" s="364">
        <v>83101</v>
      </c>
      <c r="K94" s="364">
        <v>1</v>
      </c>
      <c r="L94" s="364">
        <v>7</v>
      </c>
      <c r="M94" s="364">
        <v>4</v>
      </c>
      <c r="N94" s="364" t="s">
        <v>765</v>
      </c>
      <c r="O94" s="364">
        <v>0</v>
      </c>
      <c r="P94" s="364">
        <v>56</v>
      </c>
      <c r="Q94" s="364">
        <v>2</v>
      </c>
      <c r="R94" s="364"/>
      <c r="S94" s="364"/>
      <c r="T94" s="364"/>
      <c r="U94" s="364">
        <v>5397.92</v>
      </c>
      <c r="V94" s="364">
        <v>0</v>
      </c>
    </row>
    <row r="95" spans="2:22" x14ac:dyDescent="0.25">
      <c r="B95" s="364" t="s">
        <v>305</v>
      </c>
      <c r="C95" s="364" t="s">
        <v>315</v>
      </c>
      <c r="D95" s="364">
        <v>100</v>
      </c>
      <c r="E95" s="364" t="s">
        <v>865</v>
      </c>
      <c r="F95" s="364" t="s">
        <v>866</v>
      </c>
      <c r="G95" s="364" t="s">
        <v>1174</v>
      </c>
      <c r="H95" s="364" t="s">
        <v>756</v>
      </c>
      <c r="I95" s="364">
        <v>35</v>
      </c>
      <c r="J95" s="364">
        <v>83101</v>
      </c>
      <c r="K95" s="364">
        <v>1</v>
      </c>
      <c r="L95" s="364">
        <v>7</v>
      </c>
      <c r="M95" s="364">
        <v>4</v>
      </c>
      <c r="N95" s="364" t="s">
        <v>757</v>
      </c>
      <c r="O95" s="364">
        <v>0</v>
      </c>
      <c r="P95" s="364">
        <v>57</v>
      </c>
      <c r="Q95" s="364">
        <v>2</v>
      </c>
      <c r="R95" s="364"/>
      <c r="S95" s="364"/>
      <c r="T95" s="364"/>
      <c r="U95" s="364">
        <v>5744.98</v>
      </c>
      <c r="V95" s="364">
        <v>0</v>
      </c>
    </row>
    <row r="96" spans="2:22" x14ac:dyDescent="0.25">
      <c r="B96" s="364" t="s">
        <v>305</v>
      </c>
      <c r="C96" s="364" t="s">
        <v>315</v>
      </c>
      <c r="D96" s="364">
        <v>100</v>
      </c>
      <c r="E96" s="364" t="s">
        <v>393</v>
      </c>
      <c r="F96" s="364" t="s">
        <v>394</v>
      </c>
      <c r="G96" s="364" t="s">
        <v>918</v>
      </c>
      <c r="H96" s="364" t="s">
        <v>760</v>
      </c>
      <c r="I96" s="364">
        <v>35</v>
      </c>
      <c r="J96" s="364">
        <v>83101</v>
      </c>
      <c r="K96" s="364">
        <v>1</v>
      </c>
      <c r="L96" s="364">
        <v>7</v>
      </c>
      <c r="M96" s="364">
        <v>6</v>
      </c>
      <c r="N96" s="364" t="s">
        <v>761</v>
      </c>
      <c r="O96" s="364">
        <v>0</v>
      </c>
      <c r="P96" s="364">
        <v>58</v>
      </c>
      <c r="Q96" s="364">
        <v>2</v>
      </c>
      <c r="R96" s="364"/>
      <c r="S96" s="364"/>
      <c r="T96" s="364"/>
      <c r="U96" s="364">
        <v>6336.03</v>
      </c>
      <c r="V96" s="364">
        <v>0</v>
      </c>
    </row>
    <row r="97" spans="2:22" x14ac:dyDescent="0.25">
      <c r="B97" s="364" t="s">
        <v>305</v>
      </c>
      <c r="C97" s="364" t="s">
        <v>315</v>
      </c>
      <c r="D97" s="364">
        <v>100</v>
      </c>
      <c r="E97" s="364" t="s">
        <v>430</v>
      </c>
      <c r="F97" s="364" t="s">
        <v>431</v>
      </c>
      <c r="G97" s="364" t="s">
        <v>1030</v>
      </c>
      <c r="H97" s="364" t="s">
        <v>756</v>
      </c>
      <c r="I97" s="364">
        <v>35</v>
      </c>
      <c r="J97" s="364">
        <v>83101</v>
      </c>
      <c r="K97" s="364">
        <v>1</v>
      </c>
      <c r="L97" s="364">
        <v>7</v>
      </c>
      <c r="M97" s="364">
        <v>4</v>
      </c>
      <c r="N97" s="364" t="s">
        <v>757</v>
      </c>
      <c r="O97" s="364">
        <v>0</v>
      </c>
      <c r="P97" s="364">
        <v>6</v>
      </c>
      <c r="Q97" s="364">
        <v>2</v>
      </c>
      <c r="R97" s="364"/>
      <c r="S97" s="364"/>
      <c r="T97" s="364"/>
      <c r="U97" s="364">
        <v>6488.32</v>
      </c>
      <c r="V97" s="364">
        <v>0</v>
      </c>
    </row>
    <row r="98" spans="2:22" x14ac:dyDescent="0.25">
      <c r="B98" s="364" t="s">
        <v>305</v>
      </c>
      <c r="C98" s="364" t="s">
        <v>315</v>
      </c>
      <c r="D98" s="364">
        <v>100</v>
      </c>
      <c r="E98" s="364" t="s">
        <v>348</v>
      </c>
      <c r="F98" s="364" t="s">
        <v>349</v>
      </c>
      <c r="G98" s="364" t="s">
        <v>1098</v>
      </c>
      <c r="H98" s="364" t="s">
        <v>763</v>
      </c>
      <c r="I98" s="364">
        <v>35</v>
      </c>
      <c r="J98" s="364">
        <v>83101</v>
      </c>
      <c r="K98" s="364">
        <v>1</v>
      </c>
      <c r="L98" s="364">
        <v>7</v>
      </c>
      <c r="M98" s="364">
        <v>4</v>
      </c>
      <c r="N98" s="364" t="s">
        <v>764</v>
      </c>
      <c r="O98" s="364">
        <v>0</v>
      </c>
      <c r="P98" s="364">
        <v>60</v>
      </c>
      <c r="Q98" s="364">
        <v>2</v>
      </c>
      <c r="R98" s="364"/>
      <c r="S98" s="364"/>
      <c r="T98" s="364"/>
      <c r="U98" s="364">
        <v>5815.42</v>
      </c>
      <c r="V98" s="364">
        <v>0</v>
      </c>
    </row>
    <row r="99" spans="2:22" x14ac:dyDescent="0.25">
      <c r="B99" s="364" t="s">
        <v>305</v>
      </c>
      <c r="C99" s="364" t="s">
        <v>315</v>
      </c>
      <c r="D99" s="364">
        <v>100</v>
      </c>
      <c r="E99" s="364" t="s">
        <v>328</v>
      </c>
      <c r="F99" s="364" t="s">
        <v>329</v>
      </c>
      <c r="G99" s="364" t="s">
        <v>1379</v>
      </c>
      <c r="H99" s="364" t="s">
        <v>1380</v>
      </c>
      <c r="I99" s="364">
        <v>35</v>
      </c>
      <c r="J99" s="364">
        <v>83101</v>
      </c>
      <c r="K99" s="364">
        <v>1</v>
      </c>
      <c r="L99" s="364">
        <v>7</v>
      </c>
      <c r="M99" s="364">
        <v>4</v>
      </c>
      <c r="N99" s="364" t="s">
        <v>762</v>
      </c>
      <c r="O99" s="364">
        <v>0</v>
      </c>
      <c r="P99" s="364">
        <v>61</v>
      </c>
      <c r="Q99" s="364">
        <v>2</v>
      </c>
      <c r="R99" s="364"/>
      <c r="S99" s="364"/>
      <c r="T99" s="364"/>
      <c r="U99" s="364">
        <v>6075.9</v>
      </c>
      <c r="V99" s="364">
        <v>0</v>
      </c>
    </row>
    <row r="100" spans="2:22" x14ac:dyDescent="0.25">
      <c r="B100" s="364" t="s">
        <v>305</v>
      </c>
      <c r="C100" s="364" t="s">
        <v>315</v>
      </c>
      <c r="D100" s="364">
        <v>100</v>
      </c>
      <c r="E100" s="364" t="s">
        <v>440</v>
      </c>
      <c r="F100" s="364" t="s">
        <v>441</v>
      </c>
      <c r="G100" s="364" t="s">
        <v>926</v>
      </c>
      <c r="H100" s="364" t="s">
        <v>760</v>
      </c>
      <c r="I100" s="364">
        <v>35</v>
      </c>
      <c r="J100" s="364">
        <v>83101</v>
      </c>
      <c r="K100" s="364">
        <v>1</v>
      </c>
      <c r="L100" s="364">
        <v>7</v>
      </c>
      <c r="M100" s="364">
        <v>4</v>
      </c>
      <c r="N100" s="364" t="s">
        <v>761</v>
      </c>
      <c r="O100" s="364">
        <v>0</v>
      </c>
      <c r="P100" s="364">
        <v>62</v>
      </c>
      <c r="Q100" s="364">
        <v>2</v>
      </c>
      <c r="R100" s="364"/>
      <c r="S100" s="364"/>
      <c r="T100" s="364"/>
      <c r="U100" s="364">
        <v>6687.02</v>
      </c>
      <c r="V100" s="364">
        <v>0</v>
      </c>
    </row>
    <row r="101" spans="2:22" x14ac:dyDescent="0.25">
      <c r="B101" s="364" t="s">
        <v>305</v>
      </c>
      <c r="C101" s="364" t="s">
        <v>315</v>
      </c>
      <c r="D101" s="364">
        <v>100</v>
      </c>
      <c r="E101" s="364" t="s">
        <v>1741</v>
      </c>
      <c r="F101" s="364" t="s">
        <v>1742</v>
      </c>
      <c r="G101" s="364" t="s">
        <v>1743</v>
      </c>
      <c r="H101" s="364" t="s">
        <v>316</v>
      </c>
      <c r="I101" s="364">
        <v>35</v>
      </c>
      <c r="J101" s="364">
        <v>83101</v>
      </c>
      <c r="K101" s="364">
        <v>1</v>
      </c>
      <c r="L101" s="364">
        <v>7</v>
      </c>
      <c r="M101" s="364">
        <v>4</v>
      </c>
      <c r="N101" s="364" t="s">
        <v>317</v>
      </c>
      <c r="O101" s="364">
        <v>0</v>
      </c>
      <c r="P101" s="364" t="s">
        <v>1760</v>
      </c>
      <c r="Q101" s="364">
        <v>2</v>
      </c>
      <c r="R101" s="364"/>
      <c r="S101" s="364"/>
      <c r="T101" s="364"/>
      <c r="U101" s="364">
        <v>6089.62</v>
      </c>
      <c r="V101" s="364">
        <v>0</v>
      </c>
    </row>
    <row r="102" spans="2:22" x14ac:dyDescent="0.25">
      <c r="B102" s="364" t="s">
        <v>305</v>
      </c>
      <c r="C102" s="364" t="s">
        <v>315</v>
      </c>
      <c r="D102" s="364">
        <v>100</v>
      </c>
      <c r="E102" s="364" t="s">
        <v>576</v>
      </c>
      <c r="F102" s="364" t="s">
        <v>577</v>
      </c>
      <c r="G102" s="364" t="s">
        <v>1016</v>
      </c>
      <c r="H102" s="364" t="s">
        <v>316</v>
      </c>
      <c r="I102" s="364">
        <v>35</v>
      </c>
      <c r="J102" s="364">
        <v>83101</v>
      </c>
      <c r="K102" s="364">
        <v>1</v>
      </c>
      <c r="L102" s="364">
        <v>7</v>
      </c>
      <c r="M102" s="364">
        <v>4</v>
      </c>
      <c r="N102" s="364" t="s">
        <v>317</v>
      </c>
      <c r="O102" s="364">
        <v>0</v>
      </c>
      <c r="P102" s="364">
        <v>64</v>
      </c>
      <c r="Q102" s="364">
        <v>2</v>
      </c>
      <c r="R102" s="364"/>
      <c r="S102" s="364"/>
      <c r="T102" s="364"/>
      <c r="U102" s="364">
        <v>7092.46</v>
      </c>
      <c r="V102" s="364">
        <v>0</v>
      </c>
    </row>
    <row r="103" spans="2:22" x14ac:dyDescent="0.25">
      <c r="B103" s="364" t="s">
        <v>305</v>
      </c>
      <c r="C103" s="364" t="s">
        <v>315</v>
      </c>
      <c r="D103" s="364">
        <v>100</v>
      </c>
      <c r="E103" s="364" t="s">
        <v>836</v>
      </c>
      <c r="F103" s="364" t="s">
        <v>837</v>
      </c>
      <c r="G103" s="364" t="s">
        <v>1139</v>
      </c>
      <c r="H103" s="364" t="s">
        <v>316</v>
      </c>
      <c r="I103" s="364">
        <v>35</v>
      </c>
      <c r="J103" s="364">
        <v>83101</v>
      </c>
      <c r="K103" s="364">
        <v>1</v>
      </c>
      <c r="L103" s="364">
        <v>7</v>
      </c>
      <c r="M103" s="364">
        <v>4</v>
      </c>
      <c r="N103" s="364" t="s">
        <v>317</v>
      </c>
      <c r="O103" s="364">
        <v>0</v>
      </c>
      <c r="P103" s="364">
        <v>65</v>
      </c>
      <c r="Q103" s="364">
        <v>2</v>
      </c>
      <c r="R103" s="364"/>
      <c r="S103" s="364"/>
      <c r="T103" s="364"/>
      <c r="U103" s="364">
        <v>6089.62</v>
      </c>
      <c r="V103" s="364">
        <v>0</v>
      </c>
    </row>
    <row r="104" spans="2:22" x14ac:dyDescent="0.25">
      <c r="B104" s="364" t="s">
        <v>305</v>
      </c>
      <c r="C104" s="364" t="s">
        <v>315</v>
      </c>
      <c r="D104" s="364">
        <v>100</v>
      </c>
      <c r="E104" s="364" t="s">
        <v>1014</v>
      </c>
      <c r="F104" s="364" t="s">
        <v>573</v>
      </c>
      <c r="G104" s="364" t="s">
        <v>1015</v>
      </c>
      <c r="H104" s="364" t="s">
        <v>316</v>
      </c>
      <c r="I104" s="364">
        <v>35</v>
      </c>
      <c r="J104" s="364">
        <v>83101</v>
      </c>
      <c r="K104" s="364">
        <v>1</v>
      </c>
      <c r="L104" s="364">
        <v>7</v>
      </c>
      <c r="M104" s="364">
        <v>4</v>
      </c>
      <c r="N104" s="364" t="s">
        <v>317</v>
      </c>
      <c r="O104" s="364">
        <v>0</v>
      </c>
      <c r="P104" s="364">
        <v>66</v>
      </c>
      <c r="Q104" s="364">
        <v>2</v>
      </c>
      <c r="R104" s="364"/>
      <c r="S104" s="364"/>
      <c r="T104" s="364"/>
      <c r="U104" s="364">
        <v>7092.46</v>
      </c>
      <c r="V104" s="364">
        <v>0</v>
      </c>
    </row>
    <row r="105" spans="2:22" x14ac:dyDescent="0.25">
      <c r="B105" s="364" t="s">
        <v>305</v>
      </c>
      <c r="C105" s="364" t="s">
        <v>315</v>
      </c>
      <c r="D105" s="364">
        <v>100</v>
      </c>
      <c r="E105" s="364" t="s">
        <v>702</v>
      </c>
      <c r="F105" s="364" t="s">
        <v>703</v>
      </c>
      <c r="G105" s="364" t="s">
        <v>920</v>
      </c>
      <c r="H105" s="364" t="s">
        <v>316</v>
      </c>
      <c r="I105" s="364">
        <v>35</v>
      </c>
      <c r="J105" s="364">
        <v>83101</v>
      </c>
      <c r="K105" s="364">
        <v>1</v>
      </c>
      <c r="L105" s="364">
        <v>7</v>
      </c>
      <c r="M105" s="364">
        <v>4</v>
      </c>
      <c r="N105" s="364" t="s">
        <v>317</v>
      </c>
      <c r="O105" s="364">
        <v>0</v>
      </c>
      <c r="P105" s="364">
        <v>67</v>
      </c>
      <c r="Q105" s="364">
        <v>2</v>
      </c>
      <c r="R105" s="364"/>
      <c r="S105" s="364"/>
      <c r="T105" s="364"/>
      <c r="U105" s="364">
        <v>8070.58</v>
      </c>
      <c r="V105" s="364">
        <v>0</v>
      </c>
    </row>
    <row r="106" spans="2:22" x14ac:dyDescent="0.25">
      <c r="B106" s="364" t="s">
        <v>305</v>
      </c>
      <c r="C106" s="364" t="s">
        <v>315</v>
      </c>
      <c r="D106" s="364">
        <v>100</v>
      </c>
      <c r="E106" s="364" t="s">
        <v>624</v>
      </c>
      <c r="F106" s="364" t="s">
        <v>625</v>
      </c>
      <c r="G106" s="364" t="s">
        <v>1045</v>
      </c>
      <c r="H106" s="364" t="s">
        <v>316</v>
      </c>
      <c r="I106" s="364">
        <v>35</v>
      </c>
      <c r="J106" s="364">
        <v>83101</v>
      </c>
      <c r="K106" s="364">
        <v>1</v>
      </c>
      <c r="L106" s="364">
        <v>7</v>
      </c>
      <c r="M106" s="364">
        <v>4</v>
      </c>
      <c r="N106" s="364" t="s">
        <v>317</v>
      </c>
      <c r="O106" s="364">
        <v>0</v>
      </c>
      <c r="P106" s="364">
        <v>68</v>
      </c>
      <c r="Q106" s="364">
        <v>2</v>
      </c>
      <c r="R106" s="364"/>
      <c r="S106" s="364"/>
      <c r="T106" s="364"/>
      <c r="U106" s="364">
        <v>7231.85</v>
      </c>
      <c r="V106" s="364">
        <v>0</v>
      </c>
    </row>
    <row r="107" spans="2:22" x14ac:dyDescent="0.25">
      <c r="B107" s="364" t="s">
        <v>305</v>
      </c>
      <c r="C107" s="364" t="s">
        <v>315</v>
      </c>
      <c r="D107" s="364">
        <v>100</v>
      </c>
      <c r="E107" s="364" t="s">
        <v>1436</v>
      </c>
      <c r="F107" s="364" t="s">
        <v>1437</v>
      </c>
      <c r="G107" s="364" t="s">
        <v>1438</v>
      </c>
      <c r="H107" s="364" t="s">
        <v>763</v>
      </c>
      <c r="I107" s="364">
        <v>35</v>
      </c>
      <c r="J107" s="364">
        <v>83101</v>
      </c>
      <c r="K107" s="364">
        <v>1</v>
      </c>
      <c r="L107" s="364">
        <v>7</v>
      </c>
      <c r="M107" s="364">
        <v>4</v>
      </c>
      <c r="N107" s="364" t="s">
        <v>764</v>
      </c>
      <c r="O107" s="364">
        <v>0</v>
      </c>
      <c r="P107" s="364">
        <v>69</v>
      </c>
      <c r="Q107" s="364">
        <v>2</v>
      </c>
      <c r="R107" s="364"/>
      <c r="S107" s="364"/>
      <c r="T107" s="364"/>
      <c r="U107" s="364">
        <v>5240.54</v>
      </c>
      <c r="V107" s="364">
        <v>0</v>
      </c>
    </row>
    <row r="108" spans="2:22" x14ac:dyDescent="0.25">
      <c r="B108" s="364" t="s">
        <v>305</v>
      </c>
      <c r="C108" s="364" t="s">
        <v>315</v>
      </c>
      <c r="D108" s="364">
        <v>100</v>
      </c>
      <c r="E108" s="364" t="s">
        <v>376</v>
      </c>
      <c r="F108" s="364" t="s">
        <v>377</v>
      </c>
      <c r="G108" s="364" t="s">
        <v>1039</v>
      </c>
      <c r="H108" s="364" t="s">
        <v>758</v>
      </c>
      <c r="I108" s="364">
        <v>35</v>
      </c>
      <c r="J108" s="364">
        <v>83101</v>
      </c>
      <c r="K108" s="364">
        <v>1</v>
      </c>
      <c r="L108" s="364">
        <v>7</v>
      </c>
      <c r="M108" s="364">
        <v>4</v>
      </c>
      <c r="N108" s="364" t="s">
        <v>759</v>
      </c>
      <c r="O108" s="364">
        <v>0</v>
      </c>
      <c r="P108" s="364">
        <v>70</v>
      </c>
      <c r="Q108" s="364">
        <v>2</v>
      </c>
      <c r="R108" s="364"/>
      <c r="S108" s="364"/>
      <c r="T108" s="364"/>
      <c r="U108" s="364">
        <v>6737.53</v>
      </c>
      <c r="V108" s="364">
        <v>0</v>
      </c>
    </row>
    <row r="109" spans="2:22" x14ac:dyDescent="0.25">
      <c r="B109" s="364" t="s">
        <v>305</v>
      </c>
      <c r="C109" s="364" t="s">
        <v>315</v>
      </c>
      <c r="D109" s="364">
        <v>100</v>
      </c>
      <c r="E109" s="364" t="s">
        <v>1713</v>
      </c>
      <c r="F109" s="364" t="s">
        <v>1714</v>
      </c>
      <c r="G109" s="364" t="s">
        <v>1715</v>
      </c>
      <c r="H109" s="364" t="s">
        <v>766</v>
      </c>
      <c r="I109" s="364">
        <v>35</v>
      </c>
      <c r="J109" s="364">
        <v>83101</v>
      </c>
      <c r="K109" s="364">
        <v>1</v>
      </c>
      <c r="L109" s="364">
        <v>7</v>
      </c>
      <c r="M109" s="364">
        <v>1</v>
      </c>
      <c r="N109" s="364" t="s">
        <v>767</v>
      </c>
      <c r="O109" s="364">
        <v>0</v>
      </c>
      <c r="P109" s="364">
        <v>71</v>
      </c>
      <c r="Q109" s="364">
        <v>2</v>
      </c>
      <c r="R109" s="364"/>
      <c r="S109" s="364"/>
      <c r="T109" s="364"/>
      <c r="U109" s="364">
        <v>13019.87</v>
      </c>
      <c r="V109" s="364">
        <v>0</v>
      </c>
    </row>
    <row r="110" spans="2:22" x14ac:dyDescent="0.25">
      <c r="B110" s="364" t="s">
        <v>305</v>
      </c>
      <c r="C110" s="364" t="s">
        <v>315</v>
      </c>
      <c r="D110" s="364">
        <v>100</v>
      </c>
      <c r="E110" s="364" t="s">
        <v>378</v>
      </c>
      <c r="F110" s="364" t="s">
        <v>379</v>
      </c>
      <c r="G110" s="364" t="s">
        <v>1371</v>
      </c>
      <c r="H110" s="364" t="s">
        <v>796</v>
      </c>
      <c r="I110" s="364">
        <v>35</v>
      </c>
      <c r="J110" s="364">
        <v>83101</v>
      </c>
      <c r="K110" s="364">
        <v>1</v>
      </c>
      <c r="L110" s="364">
        <v>7</v>
      </c>
      <c r="M110" s="364">
        <v>4</v>
      </c>
      <c r="N110" s="364" t="s">
        <v>765</v>
      </c>
      <c r="O110" s="364">
        <v>0</v>
      </c>
      <c r="P110" s="364">
        <v>72</v>
      </c>
      <c r="Q110" s="364">
        <v>2</v>
      </c>
      <c r="R110" s="364"/>
      <c r="S110" s="364"/>
      <c r="T110" s="364"/>
      <c r="U110" s="364">
        <v>6152.21</v>
      </c>
      <c r="V110" s="364">
        <v>0</v>
      </c>
    </row>
    <row r="111" spans="2:22" x14ac:dyDescent="0.25">
      <c r="B111" s="364" t="s">
        <v>305</v>
      </c>
      <c r="C111" s="364" t="s">
        <v>315</v>
      </c>
      <c r="D111" s="364">
        <v>100</v>
      </c>
      <c r="E111" s="364" t="s">
        <v>380</v>
      </c>
      <c r="F111" s="364" t="s">
        <v>381</v>
      </c>
      <c r="G111" s="364" t="s">
        <v>1121</v>
      </c>
      <c r="H111" s="364" t="s">
        <v>796</v>
      </c>
      <c r="I111" s="364">
        <v>35</v>
      </c>
      <c r="J111" s="364">
        <v>83101</v>
      </c>
      <c r="K111" s="364">
        <v>1</v>
      </c>
      <c r="L111" s="364">
        <v>7</v>
      </c>
      <c r="M111" s="364">
        <v>4</v>
      </c>
      <c r="N111" s="364" t="s">
        <v>765</v>
      </c>
      <c r="O111" s="364">
        <v>0</v>
      </c>
      <c r="P111" s="364">
        <v>73</v>
      </c>
      <c r="Q111" s="364">
        <v>2</v>
      </c>
      <c r="R111" s="364"/>
      <c r="S111" s="364"/>
      <c r="T111" s="364"/>
      <c r="U111" s="364">
        <v>5023.4799999999996</v>
      </c>
      <c r="V111" s="364">
        <v>0</v>
      </c>
    </row>
    <row r="112" spans="2:22" x14ac:dyDescent="0.25">
      <c r="B112" s="364" t="s">
        <v>305</v>
      </c>
      <c r="C112" s="364" t="s">
        <v>315</v>
      </c>
      <c r="D112" s="364">
        <v>100</v>
      </c>
      <c r="E112" s="364" t="s">
        <v>567</v>
      </c>
      <c r="F112" s="364" t="s">
        <v>568</v>
      </c>
      <c r="G112" s="364" t="s">
        <v>1061</v>
      </c>
      <c r="H112" s="364" t="s">
        <v>316</v>
      </c>
      <c r="I112" s="364">
        <v>35</v>
      </c>
      <c r="J112" s="364">
        <v>83101</v>
      </c>
      <c r="K112" s="364">
        <v>1</v>
      </c>
      <c r="L112" s="364">
        <v>7</v>
      </c>
      <c r="M112" s="364">
        <v>4</v>
      </c>
      <c r="N112" s="364" t="s">
        <v>317</v>
      </c>
      <c r="O112" s="364">
        <v>0</v>
      </c>
      <c r="P112" s="364">
        <v>74</v>
      </c>
      <c r="Q112" s="364">
        <v>2</v>
      </c>
      <c r="R112" s="364"/>
      <c r="S112" s="364"/>
      <c r="T112" s="364"/>
      <c r="U112" s="364">
        <v>7122.45</v>
      </c>
      <c r="V112" s="364">
        <v>0</v>
      </c>
    </row>
    <row r="113" spans="2:22" x14ac:dyDescent="0.25">
      <c r="B113" s="364" t="s">
        <v>305</v>
      </c>
      <c r="C113" s="364" t="s">
        <v>315</v>
      </c>
      <c r="D113" s="364">
        <v>100</v>
      </c>
      <c r="E113" s="364" t="s">
        <v>384</v>
      </c>
      <c r="F113" s="364" t="s">
        <v>816</v>
      </c>
      <c r="G113" s="364" t="s">
        <v>1116</v>
      </c>
      <c r="H113" s="364" t="s">
        <v>796</v>
      </c>
      <c r="I113" s="364">
        <v>35</v>
      </c>
      <c r="J113" s="364">
        <v>83101</v>
      </c>
      <c r="K113" s="364">
        <v>1</v>
      </c>
      <c r="L113" s="364">
        <v>7</v>
      </c>
      <c r="M113" s="364">
        <v>4</v>
      </c>
      <c r="N113" s="364" t="s">
        <v>765</v>
      </c>
      <c r="O113" s="364">
        <v>0</v>
      </c>
      <c r="P113" s="364">
        <v>75</v>
      </c>
      <c r="Q113" s="364">
        <v>2</v>
      </c>
      <c r="R113" s="364"/>
      <c r="S113" s="364"/>
      <c r="T113" s="364"/>
      <c r="U113" s="364">
        <v>5614.98</v>
      </c>
      <c r="V113" s="364">
        <v>0</v>
      </c>
    </row>
    <row r="114" spans="2:22" x14ac:dyDescent="0.25">
      <c r="B114" s="364" t="s">
        <v>305</v>
      </c>
      <c r="C114" s="364" t="s">
        <v>315</v>
      </c>
      <c r="D114" s="364">
        <v>100</v>
      </c>
      <c r="E114" s="364" t="s">
        <v>806</v>
      </c>
      <c r="F114" s="364" t="s">
        <v>807</v>
      </c>
      <c r="G114" s="364" t="s">
        <v>1138</v>
      </c>
      <c r="H114" s="364" t="s">
        <v>763</v>
      </c>
      <c r="I114" s="364">
        <v>35</v>
      </c>
      <c r="J114" s="364">
        <v>83101</v>
      </c>
      <c r="K114" s="364">
        <v>1</v>
      </c>
      <c r="L114" s="364">
        <v>7</v>
      </c>
      <c r="M114" s="364">
        <v>4</v>
      </c>
      <c r="N114" s="364" t="s">
        <v>764</v>
      </c>
      <c r="O114" s="364">
        <v>0</v>
      </c>
      <c r="P114" s="364">
        <v>76</v>
      </c>
      <c r="Q114" s="364">
        <v>2</v>
      </c>
      <c r="R114" s="364"/>
      <c r="S114" s="364"/>
      <c r="T114" s="364"/>
      <c r="U114" s="364">
        <v>6032.48</v>
      </c>
      <c r="V114" s="364">
        <v>0</v>
      </c>
    </row>
    <row r="115" spans="2:22" x14ac:dyDescent="0.25">
      <c r="B115" s="364" t="s">
        <v>305</v>
      </c>
      <c r="C115" s="364" t="s">
        <v>315</v>
      </c>
      <c r="D115" s="364">
        <v>100</v>
      </c>
      <c r="E115" s="364" t="s">
        <v>332</v>
      </c>
      <c r="F115" s="364" t="s">
        <v>333</v>
      </c>
      <c r="G115" s="364" t="s">
        <v>1046</v>
      </c>
      <c r="H115" s="364" t="s">
        <v>1380</v>
      </c>
      <c r="I115" s="364">
        <v>35</v>
      </c>
      <c r="J115" s="364">
        <v>83101</v>
      </c>
      <c r="K115" s="364">
        <v>1</v>
      </c>
      <c r="L115" s="364">
        <v>7</v>
      </c>
      <c r="M115" s="364">
        <v>4</v>
      </c>
      <c r="N115" s="364" t="s">
        <v>762</v>
      </c>
      <c r="O115" s="364">
        <v>0</v>
      </c>
      <c r="P115" s="364">
        <v>77</v>
      </c>
      <c r="Q115" s="364">
        <v>2</v>
      </c>
      <c r="R115" s="364"/>
      <c r="S115" s="364"/>
      <c r="T115" s="364"/>
      <c r="U115" s="364">
        <v>6260.4</v>
      </c>
      <c r="V115" s="364">
        <v>0</v>
      </c>
    </row>
    <row r="116" spans="2:22" x14ac:dyDescent="0.25">
      <c r="B116" s="364" t="s">
        <v>305</v>
      </c>
      <c r="C116" s="364" t="s">
        <v>315</v>
      </c>
      <c r="D116" s="364">
        <v>100</v>
      </c>
      <c r="E116" s="364" t="s">
        <v>1747</v>
      </c>
      <c r="F116" s="364" t="s">
        <v>1748</v>
      </c>
      <c r="G116" s="364" t="s">
        <v>1749</v>
      </c>
      <c r="H116" s="364" t="s">
        <v>316</v>
      </c>
      <c r="I116" s="364">
        <v>35</v>
      </c>
      <c r="J116" s="364">
        <v>83101</v>
      </c>
      <c r="K116" s="364">
        <v>1</v>
      </c>
      <c r="L116" s="364">
        <v>7</v>
      </c>
      <c r="M116" s="364">
        <v>4</v>
      </c>
      <c r="N116" s="364" t="s">
        <v>317</v>
      </c>
      <c r="O116" s="364">
        <v>0</v>
      </c>
      <c r="P116" s="364">
        <v>78</v>
      </c>
      <c r="Q116" s="364">
        <v>2</v>
      </c>
      <c r="R116" s="364"/>
      <c r="S116" s="364"/>
      <c r="T116" s="364"/>
      <c r="U116" s="364">
        <v>6089.62</v>
      </c>
      <c r="V116" s="364">
        <v>0</v>
      </c>
    </row>
    <row r="117" spans="2:22" x14ac:dyDescent="0.25">
      <c r="B117" s="364" t="s">
        <v>305</v>
      </c>
      <c r="C117" s="364" t="s">
        <v>315</v>
      </c>
      <c r="D117" s="364">
        <v>100</v>
      </c>
      <c r="E117" s="364" t="s">
        <v>330</v>
      </c>
      <c r="F117" s="364" t="s">
        <v>331</v>
      </c>
      <c r="G117" s="364" t="s">
        <v>1354</v>
      </c>
      <c r="H117" s="364" t="s">
        <v>1380</v>
      </c>
      <c r="I117" s="364">
        <v>35</v>
      </c>
      <c r="J117" s="364">
        <v>83101</v>
      </c>
      <c r="K117" s="364">
        <v>1</v>
      </c>
      <c r="L117" s="364">
        <v>7</v>
      </c>
      <c r="M117" s="364">
        <v>4</v>
      </c>
      <c r="N117" s="364" t="s">
        <v>762</v>
      </c>
      <c r="O117" s="364">
        <v>0</v>
      </c>
      <c r="P117" s="364">
        <v>79</v>
      </c>
      <c r="Q117" s="364">
        <v>2</v>
      </c>
      <c r="R117" s="364"/>
      <c r="S117" s="364"/>
      <c r="T117" s="364"/>
      <c r="U117" s="364">
        <v>11075.9</v>
      </c>
      <c r="V117" s="364">
        <v>0</v>
      </c>
    </row>
    <row r="118" spans="2:22" x14ac:dyDescent="0.25">
      <c r="B118" s="364" t="s">
        <v>305</v>
      </c>
      <c r="C118" s="364" t="s">
        <v>315</v>
      </c>
      <c r="D118" s="364">
        <v>100</v>
      </c>
      <c r="E118" s="364" t="s">
        <v>420</v>
      </c>
      <c r="F118" s="364" t="s">
        <v>421</v>
      </c>
      <c r="G118" s="364" t="s">
        <v>948</v>
      </c>
      <c r="H118" s="364" t="s">
        <v>760</v>
      </c>
      <c r="I118" s="364">
        <v>35</v>
      </c>
      <c r="J118" s="364">
        <v>83101</v>
      </c>
      <c r="K118" s="364">
        <v>1</v>
      </c>
      <c r="L118" s="364">
        <v>7</v>
      </c>
      <c r="M118" s="364">
        <v>4</v>
      </c>
      <c r="N118" s="364" t="s">
        <v>761</v>
      </c>
      <c r="O118" s="364">
        <v>0</v>
      </c>
      <c r="P118" s="364">
        <v>8</v>
      </c>
      <c r="Q118" s="364">
        <v>2</v>
      </c>
      <c r="R118" s="364"/>
      <c r="S118" s="364"/>
      <c r="T118" s="364"/>
      <c r="U118" s="364">
        <v>6948.51</v>
      </c>
      <c r="V118" s="364">
        <v>0</v>
      </c>
    </row>
    <row r="119" spans="2:22" x14ac:dyDescent="0.25">
      <c r="B119" s="364" t="s">
        <v>305</v>
      </c>
      <c r="C119" s="364" t="s">
        <v>315</v>
      </c>
      <c r="D119" s="364">
        <v>100</v>
      </c>
      <c r="E119" s="364" t="s">
        <v>1610</v>
      </c>
      <c r="F119" s="364" t="s">
        <v>1611</v>
      </c>
      <c r="G119" s="364" t="s">
        <v>1612</v>
      </c>
      <c r="H119" s="364" t="s">
        <v>763</v>
      </c>
      <c r="I119" s="364">
        <v>35</v>
      </c>
      <c r="J119" s="364">
        <v>83101</v>
      </c>
      <c r="K119" s="364">
        <v>1</v>
      </c>
      <c r="L119" s="364">
        <v>7</v>
      </c>
      <c r="M119" s="364">
        <v>4</v>
      </c>
      <c r="N119" s="364" t="s">
        <v>764</v>
      </c>
      <c r="O119" s="364">
        <v>0</v>
      </c>
      <c r="P119" s="364">
        <v>80</v>
      </c>
      <c r="Q119" s="364">
        <v>2</v>
      </c>
      <c r="R119" s="364"/>
      <c r="S119" s="364"/>
      <c r="T119" s="364"/>
      <c r="U119" s="364">
        <v>5023.4799999999996</v>
      </c>
      <c r="V119" s="364">
        <v>0</v>
      </c>
    </row>
    <row r="120" spans="2:22" x14ac:dyDescent="0.25">
      <c r="B120" s="364" t="s">
        <v>305</v>
      </c>
      <c r="C120" s="364" t="s">
        <v>315</v>
      </c>
      <c r="D120" s="364">
        <v>100</v>
      </c>
      <c r="E120" s="364" t="s">
        <v>512</v>
      </c>
      <c r="F120" s="364" t="s">
        <v>513</v>
      </c>
      <c r="G120" s="364" t="s">
        <v>950</v>
      </c>
      <c r="H120" s="364" t="s">
        <v>316</v>
      </c>
      <c r="I120" s="364">
        <v>35</v>
      </c>
      <c r="J120" s="364">
        <v>83101</v>
      </c>
      <c r="K120" s="364">
        <v>1</v>
      </c>
      <c r="L120" s="364">
        <v>7</v>
      </c>
      <c r="M120" s="364">
        <v>4</v>
      </c>
      <c r="N120" s="364" t="s">
        <v>317</v>
      </c>
      <c r="O120" s="364">
        <v>0</v>
      </c>
      <c r="P120" s="364">
        <v>81</v>
      </c>
      <c r="Q120" s="364">
        <v>2</v>
      </c>
      <c r="R120" s="364"/>
      <c r="S120" s="364"/>
      <c r="T120" s="364"/>
      <c r="U120" s="364">
        <v>7001.29</v>
      </c>
      <c r="V120" s="364">
        <v>0</v>
      </c>
    </row>
    <row r="121" spans="2:22" x14ac:dyDescent="0.25">
      <c r="B121" s="364" t="s">
        <v>305</v>
      </c>
      <c r="C121" s="364" t="s">
        <v>315</v>
      </c>
      <c r="D121" s="364">
        <v>100</v>
      </c>
      <c r="E121" s="364" t="s">
        <v>798</v>
      </c>
      <c r="F121" s="364" t="s">
        <v>799</v>
      </c>
      <c r="G121" s="364" t="s">
        <v>1136</v>
      </c>
      <c r="H121" s="364" t="s">
        <v>768</v>
      </c>
      <c r="I121" s="364">
        <v>35</v>
      </c>
      <c r="J121" s="364">
        <v>83101</v>
      </c>
      <c r="K121" s="364">
        <v>1</v>
      </c>
      <c r="L121" s="364">
        <v>7</v>
      </c>
      <c r="M121" s="364">
        <v>4</v>
      </c>
      <c r="N121" s="364" t="s">
        <v>769</v>
      </c>
      <c r="O121" s="364">
        <v>0</v>
      </c>
      <c r="P121" s="364">
        <v>82</v>
      </c>
      <c r="Q121" s="364">
        <v>2</v>
      </c>
      <c r="R121" s="364"/>
      <c r="S121" s="364"/>
      <c r="T121" s="364"/>
      <c r="U121" s="364">
        <v>5023.4799999999996</v>
      </c>
      <c r="V121" s="364">
        <v>0</v>
      </c>
    </row>
    <row r="122" spans="2:22" x14ac:dyDescent="0.25">
      <c r="B122" s="364" t="s">
        <v>305</v>
      </c>
      <c r="C122" s="364" t="s">
        <v>315</v>
      </c>
      <c r="D122" s="364">
        <v>100</v>
      </c>
      <c r="E122" s="364" t="s">
        <v>808</v>
      </c>
      <c r="F122" s="364" t="s">
        <v>809</v>
      </c>
      <c r="G122" s="364" t="s">
        <v>1137</v>
      </c>
      <c r="H122" s="364" t="s">
        <v>763</v>
      </c>
      <c r="I122" s="364">
        <v>35</v>
      </c>
      <c r="J122" s="364">
        <v>83101</v>
      </c>
      <c r="K122" s="364">
        <v>1</v>
      </c>
      <c r="L122" s="364">
        <v>7</v>
      </c>
      <c r="M122" s="364">
        <v>4</v>
      </c>
      <c r="N122" s="364" t="s">
        <v>764</v>
      </c>
      <c r="O122" s="364">
        <v>0</v>
      </c>
      <c r="P122" s="364">
        <v>83</v>
      </c>
      <c r="Q122" s="364">
        <v>2</v>
      </c>
      <c r="R122" s="364"/>
      <c r="S122" s="364"/>
      <c r="T122" s="364"/>
      <c r="U122" s="364">
        <v>5614.98</v>
      </c>
      <c r="V122" s="364">
        <v>0</v>
      </c>
    </row>
    <row r="123" spans="2:22" x14ac:dyDescent="0.25">
      <c r="B123" s="364" t="s">
        <v>305</v>
      </c>
      <c r="C123" s="364" t="s">
        <v>315</v>
      </c>
      <c r="D123" s="364">
        <v>100</v>
      </c>
      <c r="E123" s="364" t="s">
        <v>830</v>
      </c>
      <c r="F123" s="364" t="s">
        <v>831</v>
      </c>
      <c r="G123" s="364" t="s">
        <v>1130</v>
      </c>
      <c r="H123" s="364" t="s">
        <v>758</v>
      </c>
      <c r="I123" s="364">
        <v>35</v>
      </c>
      <c r="J123" s="364">
        <v>83101</v>
      </c>
      <c r="K123" s="364">
        <v>1</v>
      </c>
      <c r="L123" s="364">
        <v>7</v>
      </c>
      <c r="M123" s="364">
        <v>4</v>
      </c>
      <c r="N123" s="364" t="s">
        <v>759</v>
      </c>
      <c r="O123" s="364">
        <v>0</v>
      </c>
      <c r="P123" s="364">
        <v>84</v>
      </c>
      <c r="Q123" s="364">
        <v>2</v>
      </c>
      <c r="R123" s="364"/>
      <c r="S123" s="364"/>
      <c r="T123" s="364"/>
      <c r="U123" s="364">
        <v>5292.62</v>
      </c>
      <c r="V123" s="364">
        <v>0</v>
      </c>
    </row>
    <row r="124" spans="2:22" x14ac:dyDescent="0.25">
      <c r="B124" s="364" t="s">
        <v>305</v>
      </c>
      <c r="C124" s="364" t="s">
        <v>315</v>
      </c>
      <c r="D124" s="364">
        <v>100</v>
      </c>
      <c r="E124" s="364" t="s">
        <v>306</v>
      </c>
      <c r="F124" s="364" t="s">
        <v>307</v>
      </c>
      <c r="G124" s="364" t="s">
        <v>925</v>
      </c>
      <c r="H124" s="364" t="s">
        <v>758</v>
      </c>
      <c r="I124" s="364">
        <v>35</v>
      </c>
      <c r="J124" s="364">
        <v>83101</v>
      </c>
      <c r="K124" s="364">
        <v>1</v>
      </c>
      <c r="L124" s="364">
        <v>7</v>
      </c>
      <c r="M124" s="364">
        <v>4</v>
      </c>
      <c r="N124" s="364" t="s">
        <v>759</v>
      </c>
      <c r="O124" s="364">
        <v>0</v>
      </c>
      <c r="P124" s="364">
        <v>85</v>
      </c>
      <c r="Q124" s="364">
        <v>2</v>
      </c>
      <c r="R124" s="364"/>
      <c r="S124" s="364"/>
      <c r="T124" s="364"/>
      <c r="U124" s="364">
        <v>7407.31</v>
      </c>
      <c r="V124" s="364">
        <v>0</v>
      </c>
    </row>
    <row r="125" spans="2:22" x14ac:dyDescent="0.25">
      <c r="B125" s="364" t="s">
        <v>305</v>
      </c>
      <c r="C125" s="364" t="s">
        <v>315</v>
      </c>
      <c r="D125" s="364">
        <v>100</v>
      </c>
      <c r="E125" s="364" t="s">
        <v>828</v>
      </c>
      <c r="F125" s="364" t="s">
        <v>829</v>
      </c>
      <c r="G125" s="364" t="s">
        <v>1140</v>
      </c>
      <c r="H125" s="364" t="s">
        <v>758</v>
      </c>
      <c r="I125" s="364">
        <v>35</v>
      </c>
      <c r="J125" s="364">
        <v>83101</v>
      </c>
      <c r="K125" s="364">
        <v>1</v>
      </c>
      <c r="L125" s="364">
        <v>7</v>
      </c>
      <c r="M125" s="364">
        <v>4</v>
      </c>
      <c r="N125" s="364" t="s">
        <v>759</v>
      </c>
      <c r="O125" s="364">
        <v>0</v>
      </c>
      <c r="P125" s="364">
        <v>86</v>
      </c>
      <c r="Q125" s="364">
        <v>2</v>
      </c>
      <c r="R125" s="364"/>
      <c r="S125" s="364"/>
      <c r="T125" s="364"/>
      <c r="U125" s="364">
        <v>5933.01</v>
      </c>
      <c r="V125" s="364">
        <v>0</v>
      </c>
    </row>
    <row r="126" spans="2:22" x14ac:dyDescent="0.25">
      <c r="B126" s="364" t="s">
        <v>305</v>
      </c>
      <c r="C126" s="364" t="s">
        <v>315</v>
      </c>
      <c r="D126" s="364">
        <v>100</v>
      </c>
      <c r="E126" s="364" t="s">
        <v>813</v>
      </c>
      <c r="F126" s="364" t="s">
        <v>814</v>
      </c>
      <c r="G126" s="364" t="s">
        <v>1125</v>
      </c>
      <c r="H126" s="364" t="s">
        <v>796</v>
      </c>
      <c r="I126" s="364">
        <v>35</v>
      </c>
      <c r="J126" s="364">
        <v>83101</v>
      </c>
      <c r="K126" s="364">
        <v>1</v>
      </c>
      <c r="L126" s="364">
        <v>7</v>
      </c>
      <c r="M126" s="364">
        <v>4</v>
      </c>
      <c r="N126" s="364" t="s">
        <v>765</v>
      </c>
      <c r="O126" s="364">
        <v>0</v>
      </c>
      <c r="P126" s="364">
        <v>87</v>
      </c>
      <c r="Q126" s="364">
        <v>2</v>
      </c>
      <c r="R126" s="364"/>
      <c r="S126" s="364"/>
      <c r="T126" s="364"/>
      <c r="U126" s="364">
        <v>5240.54</v>
      </c>
      <c r="V126" s="364">
        <v>0</v>
      </c>
    </row>
    <row r="127" spans="2:22" x14ac:dyDescent="0.25">
      <c r="B127" s="364" t="s">
        <v>305</v>
      </c>
      <c r="C127" s="364" t="s">
        <v>315</v>
      </c>
      <c r="D127" s="364">
        <v>100</v>
      </c>
      <c r="E127" s="364" t="s">
        <v>462</v>
      </c>
      <c r="F127" s="364" t="s">
        <v>463</v>
      </c>
      <c r="G127" s="364" t="s">
        <v>1357</v>
      </c>
      <c r="H127" s="364" t="s">
        <v>758</v>
      </c>
      <c r="I127" s="364">
        <v>35</v>
      </c>
      <c r="J127" s="364">
        <v>83101</v>
      </c>
      <c r="K127" s="364">
        <v>1</v>
      </c>
      <c r="L127" s="364">
        <v>7</v>
      </c>
      <c r="M127" s="364">
        <v>4</v>
      </c>
      <c r="N127" s="364" t="s">
        <v>759</v>
      </c>
      <c r="O127" s="364">
        <v>0</v>
      </c>
      <c r="P127" s="364">
        <v>88</v>
      </c>
      <c r="Q127" s="364">
        <v>2</v>
      </c>
      <c r="R127" s="364"/>
      <c r="S127" s="364"/>
      <c r="T127" s="364"/>
      <c r="U127" s="364">
        <v>7336.8</v>
      </c>
      <c r="V127" s="364">
        <v>0</v>
      </c>
    </row>
    <row r="128" spans="2:22" x14ac:dyDescent="0.25">
      <c r="B128" s="364" t="s">
        <v>305</v>
      </c>
      <c r="C128" s="364" t="s">
        <v>315</v>
      </c>
      <c r="D128" s="364">
        <v>100</v>
      </c>
      <c r="E128" s="364" t="s">
        <v>669</v>
      </c>
      <c r="F128" s="364" t="s">
        <v>670</v>
      </c>
      <c r="G128" s="364" t="s">
        <v>1083</v>
      </c>
      <c r="H128" s="364" t="s">
        <v>316</v>
      </c>
      <c r="I128" s="364">
        <v>35</v>
      </c>
      <c r="J128" s="364">
        <v>83101</v>
      </c>
      <c r="K128" s="364">
        <v>1</v>
      </c>
      <c r="L128" s="364">
        <v>7</v>
      </c>
      <c r="M128" s="364">
        <v>4</v>
      </c>
      <c r="N128" s="364" t="s">
        <v>317</v>
      </c>
      <c r="O128" s="364">
        <v>0</v>
      </c>
      <c r="P128" s="364">
        <v>89</v>
      </c>
      <c r="Q128" s="364">
        <v>2</v>
      </c>
      <c r="R128" s="364"/>
      <c r="S128" s="364"/>
      <c r="T128" s="364"/>
      <c r="U128" s="364">
        <v>6089.62</v>
      </c>
      <c r="V128" s="364">
        <v>0</v>
      </c>
    </row>
    <row r="129" spans="2:22" x14ac:dyDescent="0.25">
      <c r="B129" s="364" t="s">
        <v>305</v>
      </c>
      <c r="C129" s="364" t="s">
        <v>315</v>
      </c>
      <c r="D129" s="364">
        <v>100</v>
      </c>
      <c r="E129" s="364" t="s">
        <v>414</v>
      </c>
      <c r="F129" s="364" t="s">
        <v>415</v>
      </c>
      <c r="G129" s="364" t="s">
        <v>1009</v>
      </c>
      <c r="H129" s="364" t="s">
        <v>756</v>
      </c>
      <c r="I129" s="364">
        <v>35</v>
      </c>
      <c r="J129" s="364">
        <v>83101</v>
      </c>
      <c r="K129" s="364">
        <v>1</v>
      </c>
      <c r="L129" s="364">
        <v>7</v>
      </c>
      <c r="M129" s="364">
        <v>4</v>
      </c>
      <c r="N129" s="364" t="s">
        <v>757</v>
      </c>
      <c r="O129" s="364">
        <v>0</v>
      </c>
      <c r="P129" s="364">
        <v>9</v>
      </c>
      <c r="Q129" s="364">
        <v>2</v>
      </c>
      <c r="R129" s="364"/>
      <c r="S129" s="364"/>
      <c r="T129" s="364"/>
      <c r="U129" s="364">
        <v>6553.44</v>
      </c>
      <c r="V129" s="364">
        <v>0</v>
      </c>
    </row>
    <row r="130" spans="2:22" x14ac:dyDescent="0.25">
      <c r="B130" s="364" t="s">
        <v>305</v>
      </c>
      <c r="C130" s="364" t="s">
        <v>315</v>
      </c>
      <c r="D130" s="364">
        <v>100</v>
      </c>
      <c r="E130" s="364" t="s">
        <v>410</v>
      </c>
      <c r="F130" s="364" t="s">
        <v>411</v>
      </c>
      <c r="G130" s="364" t="s">
        <v>975</v>
      </c>
      <c r="H130" s="364" t="s">
        <v>756</v>
      </c>
      <c r="I130" s="364">
        <v>35</v>
      </c>
      <c r="J130" s="364">
        <v>83101</v>
      </c>
      <c r="K130" s="364">
        <v>1</v>
      </c>
      <c r="L130" s="364">
        <v>7</v>
      </c>
      <c r="M130" s="364">
        <v>4</v>
      </c>
      <c r="N130" s="364" t="s">
        <v>757</v>
      </c>
      <c r="O130" s="364">
        <v>0</v>
      </c>
      <c r="P130" s="364">
        <v>90</v>
      </c>
      <c r="Q130" s="364">
        <v>2</v>
      </c>
      <c r="R130" s="364"/>
      <c r="S130" s="364"/>
      <c r="T130" s="364"/>
      <c r="U130" s="364">
        <v>6331.29</v>
      </c>
      <c r="V130" s="364">
        <v>0</v>
      </c>
    </row>
    <row r="131" spans="2:22" x14ac:dyDescent="0.25">
      <c r="B131" s="364" t="s">
        <v>305</v>
      </c>
      <c r="C131" s="364" t="s">
        <v>315</v>
      </c>
      <c r="D131" s="364">
        <v>100</v>
      </c>
      <c r="E131" s="364" t="s">
        <v>1590</v>
      </c>
      <c r="F131" s="364" t="s">
        <v>1591</v>
      </c>
      <c r="G131" s="364" t="s">
        <v>1592</v>
      </c>
      <c r="H131" s="364" t="s">
        <v>1375</v>
      </c>
      <c r="I131" s="364">
        <v>35</v>
      </c>
      <c r="J131" s="364">
        <v>83101</v>
      </c>
      <c r="K131" s="364">
        <v>1</v>
      </c>
      <c r="L131" s="364">
        <v>7</v>
      </c>
      <c r="M131" s="364">
        <v>6</v>
      </c>
      <c r="N131" s="364" t="s">
        <v>771</v>
      </c>
      <c r="O131" s="364">
        <v>0</v>
      </c>
      <c r="P131" s="364">
        <v>9000</v>
      </c>
      <c r="Q131" s="364">
        <v>2</v>
      </c>
      <c r="R131" s="364"/>
      <c r="S131" s="364"/>
      <c r="T131" s="364"/>
      <c r="U131" s="364">
        <v>6292.82</v>
      </c>
      <c r="V131" s="364">
        <v>0</v>
      </c>
    </row>
    <row r="132" spans="2:22" x14ac:dyDescent="0.25">
      <c r="B132" s="364" t="s">
        <v>305</v>
      </c>
      <c r="C132" s="364" t="s">
        <v>315</v>
      </c>
      <c r="D132" s="364">
        <v>100</v>
      </c>
      <c r="E132" s="364" t="s">
        <v>1576</v>
      </c>
      <c r="F132" s="364" t="s">
        <v>1577</v>
      </c>
      <c r="G132" s="364" t="s">
        <v>1578</v>
      </c>
      <c r="H132" s="364" t="s">
        <v>1375</v>
      </c>
      <c r="I132" s="364">
        <v>35</v>
      </c>
      <c r="J132" s="364">
        <v>83101</v>
      </c>
      <c r="K132" s="364">
        <v>1</v>
      </c>
      <c r="L132" s="364">
        <v>7</v>
      </c>
      <c r="M132" s="364">
        <v>6</v>
      </c>
      <c r="N132" s="364" t="s">
        <v>771</v>
      </c>
      <c r="O132" s="364">
        <v>0</v>
      </c>
      <c r="P132" s="364">
        <v>9001</v>
      </c>
      <c r="Q132" s="364">
        <v>2</v>
      </c>
      <c r="R132" s="364"/>
      <c r="S132" s="364"/>
      <c r="T132" s="364"/>
      <c r="U132" s="364">
        <v>6292.82</v>
      </c>
      <c r="V132" s="364">
        <v>0</v>
      </c>
    </row>
    <row r="133" spans="2:22" x14ac:dyDescent="0.25">
      <c r="B133" s="364" t="s">
        <v>305</v>
      </c>
      <c r="C133" s="364" t="s">
        <v>315</v>
      </c>
      <c r="D133" s="364">
        <v>100</v>
      </c>
      <c r="E133" s="364" t="s">
        <v>1593</v>
      </c>
      <c r="F133" s="364" t="s">
        <v>1594</v>
      </c>
      <c r="G133" s="364" t="s">
        <v>1595</v>
      </c>
      <c r="H133" s="364" t="s">
        <v>1375</v>
      </c>
      <c r="I133" s="364">
        <v>35</v>
      </c>
      <c r="J133" s="364">
        <v>83101</v>
      </c>
      <c r="K133" s="364">
        <v>1</v>
      </c>
      <c r="L133" s="364">
        <v>7</v>
      </c>
      <c r="M133" s="364">
        <v>6</v>
      </c>
      <c r="N133" s="364" t="s">
        <v>771</v>
      </c>
      <c r="O133" s="364">
        <v>0</v>
      </c>
      <c r="P133" s="364">
        <v>9002</v>
      </c>
      <c r="Q133" s="364">
        <v>2</v>
      </c>
      <c r="R133" s="364"/>
      <c r="S133" s="364"/>
      <c r="T133" s="364"/>
      <c r="U133" s="364">
        <v>6292.82</v>
      </c>
      <c r="V133" s="364">
        <v>0</v>
      </c>
    </row>
    <row r="134" spans="2:22" x14ac:dyDescent="0.25">
      <c r="B134" s="364" t="s">
        <v>305</v>
      </c>
      <c r="C134" s="364" t="s">
        <v>315</v>
      </c>
      <c r="D134" s="364">
        <v>100</v>
      </c>
      <c r="E134" s="364" t="s">
        <v>1582</v>
      </c>
      <c r="F134" s="364" t="s">
        <v>1583</v>
      </c>
      <c r="G134" s="364" t="s">
        <v>1596</v>
      </c>
      <c r="H134" s="364" t="s">
        <v>1375</v>
      </c>
      <c r="I134" s="364">
        <v>35</v>
      </c>
      <c r="J134" s="364">
        <v>83101</v>
      </c>
      <c r="K134" s="364">
        <v>1</v>
      </c>
      <c r="L134" s="364">
        <v>7</v>
      </c>
      <c r="M134" s="364">
        <v>4</v>
      </c>
      <c r="N134" s="364" t="s">
        <v>771</v>
      </c>
      <c r="O134" s="364">
        <v>0</v>
      </c>
      <c r="P134" s="364">
        <v>9003</v>
      </c>
      <c r="Q134" s="364">
        <v>2</v>
      </c>
      <c r="R134" s="364"/>
      <c r="S134" s="364"/>
      <c r="T134" s="364"/>
      <c r="U134" s="364">
        <v>6292.82</v>
      </c>
      <c r="V134" s="364">
        <v>0</v>
      </c>
    </row>
    <row r="135" spans="2:22" x14ac:dyDescent="0.25">
      <c r="B135" s="364" t="s">
        <v>305</v>
      </c>
      <c r="C135" s="364" t="s">
        <v>315</v>
      </c>
      <c r="D135" s="364">
        <v>100</v>
      </c>
      <c r="E135" s="364" t="s">
        <v>1579</v>
      </c>
      <c r="F135" s="364" t="s">
        <v>1580</v>
      </c>
      <c r="G135" s="364" t="s">
        <v>1581</v>
      </c>
      <c r="H135" s="364" t="s">
        <v>1375</v>
      </c>
      <c r="I135" s="364">
        <v>35</v>
      </c>
      <c r="J135" s="364">
        <v>83101</v>
      </c>
      <c r="K135" s="364">
        <v>1</v>
      </c>
      <c r="L135" s="364">
        <v>7</v>
      </c>
      <c r="M135" s="364">
        <v>4</v>
      </c>
      <c r="N135" s="364" t="s">
        <v>771</v>
      </c>
      <c r="O135" s="364">
        <v>0</v>
      </c>
      <c r="P135" s="364">
        <v>9004</v>
      </c>
      <c r="Q135" s="364">
        <v>2</v>
      </c>
      <c r="R135" s="364"/>
      <c r="S135" s="364"/>
      <c r="T135" s="364"/>
      <c r="U135" s="364">
        <v>6292.82</v>
      </c>
      <c r="V135" s="364">
        <v>0</v>
      </c>
    </row>
    <row r="136" spans="2:22" x14ac:dyDescent="0.25">
      <c r="B136" s="364" t="s">
        <v>305</v>
      </c>
      <c r="C136" s="364" t="s">
        <v>315</v>
      </c>
      <c r="D136" s="364">
        <v>100</v>
      </c>
      <c r="E136" s="364" t="s">
        <v>1732</v>
      </c>
      <c r="F136" s="364" t="s">
        <v>1733</v>
      </c>
      <c r="G136" s="364" t="s">
        <v>1734</v>
      </c>
      <c r="H136" s="364" t="s">
        <v>1375</v>
      </c>
      <c r="I136" s="364">
        <v>35</v>
      </c>
      <c r="J136" s="364">
        <v>83101</v>
      </c>
      <c r="K136" s="364">
        <v>1</v>
      </c>
      <c r="L136" s="364">
        <v>7</v>
      </c>
      <c r="M136" s="364">
        <v>9</v>
      </c>
      <c r="N136" s="364" t="s">
        <v>771</v>
      </c>
      <c r="O136" s="364">
        <v>0</v>
      </c>
      <c r="P136" s="364">
        <v>9007</v>
      </c>
      <c r="Q136" s="364">
        <v>2</v>
      </c>
      <c r="R136" s="364"/>
      <c r="S136" s="364"/>
      <c r="T136" s="364"/>
      <c r="U136" s="364">
        <v>6292.82</v>
      </c>
      <c r="V136" s="364">
        <v>0</v>
      </c>
    </row>
    <row r="137" spans="2:22" x14ac:dyDescent="0.25">
      <c r="B137" s="364" t="s">
        <v>305</v>
      </c>
      <c r="C137" s="364" t="s">
        <v>315</v>
      </c>
      <c r="D137" s="364">
        <v>100</v>
      </c>
      <c r="E137" s="364" t="s">
        <v>1615</v>
      </c>
      <c r="F137" s="364" t="s">
        <v>1616</v>
      </c>
      <c r="G137" s="364" t="s">
        <v>1617</v>
      </c>
      <c r="H137" s="364" t="s">
        <v>1375</v>
      </c>
      <c r="I137" s="364">
        <v>35</v>
      </c>
      <c r="J137" s="364">
        <v>83101</v>
      </c>
      <c r="K137" s="364">
        <v>1</v>
      </c>
      <c r="L137" s="364">
        <v>7</v>
      </c>
      <c r="M137" s="364">
        <v>9</v>
      </c>
      <c r="N137" s="364" t="s">
        <v>771</v>
      </c>
      <c r="O137" s="364">
        <v>0</v>
      </c>
      <c r="P137" s="364">
        <v>9008</v>
      </c>
      <c r="Q137" s="364">
        <v>2</v>
      </c>
      <c r="R137" s="364"/>
      <c r="S137" s="364"/>
      <c r="T137" s="364"/>
      <c r="U137" s="364">
        <v>6292.82</v>
      </c>
      <c r="V137" s="364">
        <v>0</v>
      </c>
    </row>
    <row r="138" spans="2:22" x14ac:dyDescent="0.25">
      <c r="B138" s="364" t="s">
        <v>305</v>
      </c>
      <c r="C138" s="364" t="s">
        <v>315</v>
      </c>
      <c r="D138" s="364">
        <v>100</v>
      </c>
      <c r="E138" s="364" t="s">
        <v>1756</v>
      </c>
      <c r="F138" s="364" t="s">
        <v>1757</v>
      </c>
      <c r="G138" s="364" t="s">
        <v>1758</v>
      </c>
      <c r="H138" s="364" t="s">
        <v>1375</v>
      </c>
      <c r="I138" s="364">
        <v>35</v>
      </c>
      <c r="J138" s="364">
        <v>83101</v>
      </c>
      <c r="K138" s="364">
        <v>1</v>
      </c>
      <c r="L138" s="364">
        <v>7</v>
      </c>
      <c r="M138" s="364">
        <v>9</v>
      </c>
      <c r="N138" s="364" t="s">
        <v>771</v>
      </c>
      <c r="O138" s="364">
        <v>0</v>
      </c>
      <c r="P138" s="364">
        <v>9009</v>
      </c>
      <c r="Q138" s="364">
        <v>2</v>
      </c>
      <c r="R138" s="364"/>
      <c r="S138" s="364"/>
      <c r="T138" s="364"/>
      <c r="U138" s="364">
        <v>6292.82</v>
      </c>
      <c r="V138" s="364">
        <v>0</v>
      </c>
    </row>
    <row r="139" spans="2:22" x14ac:dyDescent="0.25">
      <c r="B139" s="364" t="s">
        <v>305</v>
      </c>
      <c r="C139" s="364" t="s">
        <v>315</v>
      </c>
      <c r="D139" s="364">
        <v>100</v>
      </c>
      <c r="E139" s="364" t="s">
        <v>521</v>
      </c>
      <c r="F139" s="364" t="s">
        <v>522</v>
      </c>
      <c r="G139" s="364" t="s">
        <v>1026</v>
      </c>
      <c r="H139" s="364" t="s">
        <v>316</v>
      </c>
      <c r="I139" s="364">
        <v>35</v>
      </c>
      <c r="J139" s="364">
        <v>83101</v>
      </c>
      <c r="K139" s="364">
        <v>1</v>
      </c>
      <c r="L139" s="364">
        <v>7</v>
      </c>
      <c r="M139" s="364">
        <v>4</v>
      </c>
      <c r="N139" s="364" t="s">
        <v>317</v>
      </c>
      <c r="O139" s="364">
        <v>0</v>
      </c>
      <c r="P139" s="364">
        <v>91</v>
      </c>
      <c r="Q139" s="364">
        <v>2</v>
      </c>
      <c r="R139" s="364"/>
      <c r="S139" s="364"/>
      <c r="T139" s="364"/>
      <c r="U139" s="364">
        <v>7523.58</v>
      </c>
      <c r="V139" s="364">
        <v>0</v>
      </c>
    </row>
    <row r="140" spans="2:22" x14ac:dyDescent="0.25">
      <c r="B140" s="364" t="s">
        <v>305</v>
      </c>
      <c r="C140" s="364" t="s">
        <v>315</v>
      </c>
      <c r="D140" s="364">
        <v>100</v>
      </c>
      <c r="E140" s="364" t="s">
        <v>428</v>
      </c>
      <c r="F140" s="364" t="s">
        <v>429</v>
      </c>
      <c r="G140" s="364" t="s">
        <v>1117</v>
      </c>
      <c r="H140" s="364" t="s">
        <v>756</v>
      </c>
      <c r="I140" s="364">
        <v>35</v>
      </c>
      <c r="J140" s="364">
        <v>83101</v>
      </c>
      <c r="K140" s="364">
        <v>1</v>
      </c>
      <c r="L140" s="364">
        <v>7</v>
      </c>
      <c r="M140" s="364">
        <v>4</v>
      </c>
      <c r="N140" s="364" t="s">
        <v>757</v>
      </c>
      <c r="O140" s="364">
        <v>0</v>
      </c>
      <c r="P140" s="364">
        <v>92</v>
      </c>
      <c r="Q140" s="364">
        <v>2</v>
      </c>
      <c r="R140" s="364"/>
      <c r="S140" s="364"/>
      <c r="T140" s="364"/>
      <c r="U140" s="364">
        <v>6032.48</v>
      </c>
      <c r="V140" s="364">
        <v>0</v>
      </c>
    </row>
    <row r="141" spans="2:22" x14ac:dyDescent="0.25">
      <c r="B141" s="364" t="s">
        <v>305</v>
      </c>
      <c r="C141" s="364" t="s">
        <v>315</v>
      </c>
      <c r="D141" s="364">
        <v>100</v>
      </c>
      <c r="E141" s="364" t="s">
        <v>358</v>
      </c>
      <c r="F141" s="364" t="s">
        <v>359</v>
      </c>
      <c r="G141" s="364" t="s">
        <v>1069</v>
      </c>
      <c r="H141" s="364" t="s">
        <v>763</v>
      </c>
      <c r="I141" s="364">
        <v>35</v>
      </c>
      <c r="J141" s="364">
        <v>83101</v>
      </c>
      <c r="K141" s="364">
        <v>1</v>
      </c>
      <c r="L141" s="364">
        <v>7</v>
      </c>
      <c r="M141" s="364">
        <v>4</v>
      </c>
      <c r="N141" s="364" t="s">
        <v>764</v>
      </c>
      <c r="O141" s="364">
        <v>0</v>
      </c>
      <c r="P141" s="364">
        <v>93</v>
      </c>
      <c r="Q141" s="364">
        <v>2</v>
      </c>
      <c r="R141" s="364"/>
      <c r="S141" s="364"/>
      <c r="T141" s="364"/>
      <c r="U141" s="364">
        <v>5745.22</v>
      </c>
      <c r="V141" s="364">
        <v>0</v>
      </c>
    </row>
    <row r="142" spans="2:22" x14ac:dyDescent="0.25">
      <c r="B142" s="364" t="s">
        <v>305</v>
      </c>
      <c r="C142" s="364" t="s">
        <v>315</v>
      </c>
      <c r="D142" s="364">
        <v>100</v>
      </c>
      <c r="E142" s="364" t="s">
        <v>1433</v>
      </c>
      <c r="F142" s="364" t="s">
        <v>1434</v>
      </c>
      <c r="G142" s="364" t="s">
        <v>1435</v>
      </c>
      <c r="H142" s="364" t="s">
        <v>758</v>
      </c>
      <c r="I142" s="364">
        <v>35</v>
      </c>
      <c r="J142" s="364">
        <v>83101</v>
      </c>
      <c r="K142" s="364">
        <v>1</v>
      </c>
      <c r="L142" s="364">
        <v>7</v>
      </c>
      <c r="M142" s="364">
        <v>4</v>
      </c>
      <c r="N142" s="364" t="s">
        <v>759</v>
      </c>
      <c r="O142" s="364">
        <v>0</v>
      </c>
      <c r="P142" s="364">
        <v>94</v>
      </c>
      <c r="Q142" s="364">
        <v>2</v>
      </c>
      <c r="R142" s="364"/>
      <c r="S142" s="364"/>
      <c r="T142" s="364"/>
      <c r="U142" s="364">
        <v>5933.01</v>
      </c>
      <c r="V142" s="364">
        <v>0</v>
      </c>
    </row>
    <row r="143" spans="2:22" x14ac:dyDescent="0.25">
      <c r="B143" s="364" t="s">
        <v>305</v>
      </c>
      <c r="C143" s="364" t="s">
        <v>315</v>
      </c>
      <c r="D143" s="364">
        <v>100</v>
      </c>
      <c r="E143" s="364" t="s">
        <v>588</v>
      </c>
      <c r="F143" s="364" t="s">
        <v>589</v>
      </c>
      <c r="G143" s="364" t="s">
        <v>1064</v>
      </c>
      <c r="H143" s="364" t="s">
        <v>316</v>
      </c>
      <c r="I143" s="364">
        <v>35</v>
      </c>
      <c r="J143" s="364">
        <v>83101</v>
      </c>
      <c r="K143" s="364">
        <v>1</v>
      </c>
      <c r="L143" s="364">
        <v>7</v>
      </c>
      <c r="M143" s="364">
        <v>4</v>
      </c>
      <c r="N143" s="364" t="s">
        <v>317</v>
      </c>
      <c r="O143" s="364">
        <v>0</v>
      </c>
      <c r="P143" s="364">
        <v>95</v>
      </c>
      <c r="Q143" s="364">
        <v>2</v>
      </c>
      <c r="R143" s="364"/>
      <c r="S143" s="364"/>
      <c r="T143" s="364"/>
      <c r="U143" s="364">
        <v>6654.86</v>
      </c>
      <c r="V143" s="364">
        <v>0</v>
      </c>
    </row>
    <row r="144" spans="2:22" x14ac:dyDescent="0.25">
      <c r="B144" s="364" t="s">
        <v>305</v>
      </c>
      <c r="C144" s="364" t="s">
        <v>315</v>
      </c>
      <c r="D144" s="364">
        <v>100</v>
      </c>
      <c r="E144" s="364" t="s">
        <v>1439</v>
      </c>
      <c r="F144" s="364" t="s">
        <v>1440</v>
      </c>
      <c r="G144" s="364" t="s">
        <v>1441</v>
      </c>
      <c r="H144" s="364" t="s">
        <v>763</v>
      </c>
      <c r="I144" s="364">
        <v>35</v>
      </c>
      <c r="J144" s="364">
        <v>83101</v>
      </c>
      <c r="K144" s="364">
        <v>1</v>
      </c>
      <c r="L144" s="364">
        <v>7</v>
      </c>
      <c r="M144" s="364">
        <v>4</v>
      </c>
      <c r="N144" s="364" t="s">
        <v>764</v>
      </c>
      <c r="O144" s="364">
        <v>0</v>
      </c>
      <c r="P144" s="364">
        <v>96</v>
      </c>
      <c r="Q144" s="364">
        <v>2</v>
      </c>
      <c r="R144" s="364"/>
      <c r="S144" s="364"/>
      <c r="T144" s="364"/>
      <c r="U144" s="364">
        <v>7487.17</v>
      </c>
      <c r="V144" s="364">
        <v>0</v>
      </c>
    </row>
    <row r="145" spans="2:22" x14ac:dyDescent="0.25">
      <c r="B145" s="364" t="s">
        <v>305</v>
      </c>
      <c r="C145" s="364" t="s">
        <v>315</v>
      </c>
      <c r="D145" s="364">
        <v>100</v>
      </c>
      <c r="E145" s="364" t="s">
        <v>682</v>
      </c>
      <c r="F145" s="364" t="s">
        <v>683</v>
      </c>
      <c r="G145" s="364" t="s">
        <v>1088</v>
      </c>
      <c r="H145" s="364" t="s">
        <v>316</v>
      </c>
      <c r="I145" s="364">
        <v>35</v>
      </c>
      <c r="J145" s="364">
        <v>83101</v>
      </c>
      <c r="K145" s="364">
        <v>1</v>
      </c>
      <c r="L145" s="364">
        <v>7</v>
      </c>
      <c r="M145" s="364">
        <v>4</v>
      </c>
      <c r="N145" s="364" t="s">
        <v>317</v>
      </c>
      <c r="O145" s="364">
        <v>0</v>
      </c>
      <c r="P145" s="364">
        <v>97</v>
      </c>
      <c r="Q145" s="364">
        <v>2</v>
      </c>
      <c r="R145" s="364"/>
      <c r="S145" s="364"/>
      <c r="T145" s="364"/>
      <c r="U145" s="364">
        <v>6089.62</v>
      </c>
      <c r="V145" s="364">
        <v>0</v>
      </c>
    </row>
    <row r="146" spans="2:22" x14ac:dyDescent="0.25">
      <c r="B146" s="364" t="s">
        <v>305</v>
      </c>
      <c r="C146" s="364" t="s">
        <v>315</v>
      </c>
      <c r="D146" s="364">
        <v>100</v>
      </c>
      <c r="E146" s="364" t="s">
        <v>1728</v>
      </c>
      <c r="F146" s="364" t="s">
        <v>1729</v>
      </c>
      <c r="G146" s="364" t="s">
        <v>1730</v>
      </c>
      <c r="H146" s="364" t="s">
        <v>316</v>
      </c>
      <c r="I146" s="364">
        <v>35</v>
      </c>
      <c r="J146" s="364">
        <v>83101</v>
      </c>
      <c r="K146" s="364">
        <v>1</v>
      </c>
      <c r="L146" s="364">
        <v>7</v>
      </c>
      <c r="M146" s="364">
        <v>4</v>
      </c>
      <c r="N146" s="364" t="s">
        <v>317</v>
      </c>
      <c r="O146" s="364">
        <v>0</v>
      </c>
      <c r="P146" s="364">
        <v>98</v>
      </c>
      <c r="Q146" s="364">
        <v>2</v>
      </c>
      <c r="R146" s="364"/>
      <c r="S146" s="364"/>
      <c r="T146" s="364"/>
      <c r="U146" s="364">
        <v>6089.62</v>
      </c>
      <c r="V146" s="364">
        <v>0</v>
      </c>
    </row>
    <row r="147" spans="2:22" x14ac:dyDescent="0.25">
      <c r="B147" s="364" t="s">
        <v>305</v>
      </c>
      <c r="C147" s="364" t="s">
        <v>315</v>
      </c>
      <c r="D147" s="364">
        <v>100</v>
      </c>
      <c r="E147" s="364" t="s">
        <v>1465</v>
      </c>
      <c r="F147" s="364" t="s">
        <v>1466</v>
      </c>
      <c r="G147" s="364" t="s">
        <v>1467</v>
      </c>
      <c r="H147" s="364" t="s">
        <v>763</v>
      </c>
      <c r="I147" s="364">
        <v>35</v>
      </c>
      <c r="J147" s="364">
        <v>83101</v>
      </c>
      <c r="K147" s="364">
        <v>1</v>
      </c>
      <c r="L147" s="364">
        <v>7</v>
      </c>
      <c r="M147" s="364">
        <v>4</v>
      </c>
      <c r="N147" s="364" t="s">
        <v>764</v>
      </c>
      <c r="O147" s="364">
        <v>0</v>
      </c>
      <c r="P147" s="364">
        <v>99</v>
      </c>
      <c r="Q147" s="364">
        <v>2</v>
      </c>
      <c r="R147" s="364"/>
      <c r="S147" s="364"/>
      <c r="T147" s="364"/>
      <c r="U147" s="364">
        <v>5023.4799999999996</v>
      </c>
      <c r="V147" s="364">
        <v>0</v>
      </c>
    </row>
    <row r="148" spans="2:22" x14ac:dyDescent="0.25">
      <c r="B148" s="364" t="s">
        <v>305</v>
      </c>
      <c r="C148" s="364" t="s">
        <v>315</v>
      </c>
      <c r="D148" s="364">
        <v>100</v>
      </c>
      <c r="E148" s="364" t="s">
        <v>838</v>
      </c>
      <c r="F148" s="364" t="s">
        <v>839</v>
      </c>
      <c r="G148" s="364" t="s">
        <v>1131</v>
      </c>
      <c r="H148" s="364" t="s">
        <v>763</v>
      </c>
      <c r="I148" s="364">
        <v>35</v>
      </c>
      <c r="J148" s="364">
        <v>83101</v>
      </c>
      <c r="K148" s="364">
        <v>1</v>
      </c>
      <c r="L148" s="364">
        <v>7</v>
      </c>
      <c r="M148" s="364">
        <v>4</v>
      </c>
      <c r="N148" s="364" t="s">
        <v>764</v>
      </c>
      <c r="O148" s="364">
        <v>0</v>
      </c>
      <c r="P148" s="364">
        <v>141</v>
      </c>
      <c r="Q148" s="364">
        <v>2</v>
      </c>
      <c r="R148" s="364"/>
      <c r="S148" s="364"/>
      <c r="T148" s="364"/>
      <c r="U148" s="364">
        <v>5397.92</v>
      </c>
      <c r="V148" s="364">
        <v>0</v>
      </c>
    </row>
    <row r="149" spans="2:22" x14ac:dyDescent="0.25">
      <c r="B149" s="364" t="s">
        <v>305</v>
      </c>
      <c r="C149" s="364" t="s">
        <v>315</v>
      </c>
      <c r="D149" s="364">
        <v>100</v>
      </c>
      <c r="E149" s="364" t="s">
        <v>508</v>
      </c>
      <c r="F149" s="364" t="s">
        <v>509</v>
      </c>
      <c r="G149" s="364" t="s">
        <v>1072</v>
      </c>
      <c r="H149" s="364" t="s">
        <v>1370</v>
      </c>
      <c r="I149" s="364">
        <v>35</v>
      </c>
      <c r="J149" s="364">
        <v>83101</v>
      </c>
      <c r="K149" s="364">
        <v>1</v>
      </c>
      <c r="L149" s="364">
        <v>7</v>
      </c>
      <c r="M149" s="364">
        <v>4</v>
      </c>
      <c r="N149" s="364" t="s">
        <v>318</v>
      </c>
      <c r="O149" s="364">
        <v>0</v>
      </c>
      <c r="P149" s="364">
        <v>143</v>
      </c>
      <c r="Q149" s="364">
        <v>2</v>
      </c>
      <c r="R149" s="364"/>
      <c r="S149" s="364"/>
      <c r="T149" s="364"/>
      <c r="U149" s="364">
        <v>11998.69</v>
      </c>
      <c r="V149" s="364">
        <v>0</v>
      </c>
    </row>
    <row r="150" spans="2:22" x14ac:dyDescent="0.25">
      <c r="B150" s="364" t="s">
        <v>305</v>
      </c>
      <c r="C150" s="364" t="s">
        <v>315</v>
      </c>
      <c r="D150" s="364">
        <v>100</v>
      </c>
      <c r="E150" s="364" t="s">
        <v>553</v>
      </c>
      <c r="F150" s="364" t="s">
        <v>554</v>
      </c>
      <c r="G150" s="364" t="s">
        <v>931</v>
      </c>
      <c r="H150" s="364" t="s">
        <v>316</v>
      </c>
      <c r="I150" s="364">
        <v>35</v>
      </c>
      <c r="J150" s="364">
        <v>83101</v>
      </c>
      <c r="K150" s="364">
        <v>1</v>
      </c>
      <c r="L150" s="364">
        <v>7</v>
      </c>
      <c r="M150" s="364">
        <v>4</v>
      </c>
      <c r="N150" s="364" t="s">
        <v>317</v>
      </c>
      <c r="O150" s="364">
        <v>0</v>
      </c>
      <c r="P150" s="364">
        <v>144</v>
      </c>
      <c r="Q150" s="364">
        <v>2</v>
      </c>
      <c r="R150" s="364"/>
      <c r="S150" s="364"/>
      <c r="T150" s="364"/>
      <c r="U150" s="364">
        <v>7961.18</v>
      </c>
      <c r="V150" s="364">
        <v>0</v>
      </c>
    </row>
    <row r="151" spans="2:22" x14ac:dyDescent="0.25">
      <c r="B151" s="364" t="s">
        <v>305</v>
      </c>
      <c r="C151" s="364" t="s">
        <v>315</v>
      </c>
      <c r="D151" s="364">
        <v>100</v>
      </c>
      <c r="E151" s="364" t="s">
        <v>460</v>
      </c>
      <c r="F151" s="364" t="s">
        <v>461</v>
      </c>
      <c r="G151" s="364" t="s">
        <v>939</v>
      </c>
      <c r="H151" s="364" t="s">
        <v>760</v>
      </c>
      <c r="I151" s="364">
        <v>35</v>
      </c>
      <c r="J151" s="364">
        <v>83101</v>
      </c>
      <c r="K151" s="364">
        <v>1</v>
      </c>
      <c r="L151" s="364">
        <v>7</v>
      </c>
      <c r="M151" s="364">
        <v>4</v>
      </c>
      <c r="N151" s="364" t="s">
        <v>761</v>
      </c>
      <c r="O151" s="364">
        <v>0</v>
      </c>
      <c r="P151" s="364">
        <v>145</v>
      </c>
      <c r="Q151" s="364">
        <v>2</v>
      </c>
      <c r="R151" s="364"/>
      <c r="S151" s="364"/>
      <c r="T151" s="364"/>
      <c r="U151" s="364">
        <v>7015.36</v>
      </c>
      <c r="V151" s="364">
        <v>0</v>
      </c>
    </row>
    <row r="152" spans="2:22" x14ac:dyDescent="0.25">
      <c r="B152" s="364" t="s">
        <v>305</v>
      </c>
      <c r="C152" s="364" t="s">
        <v>315</v>
      </c>
      <c r="D152" s="364">
        <v>100</v>
      </c>
      <c r="E152" s="364" t="s">
        <v>584</v>
      </c>
      <c r="F152" s="364" t="s">
        <v>585</v>
      </c>
      <c r="G152" s="364" t="s">
        <v>1092</v>
      </c>
      <c r="H152" s="364" t="s">
        <v>316</v>
      </c>
      <c r="I152" s="364">
        <v>35</v>
      </c>
      <c r="J152" s="364">
        <v>83101</v>
      </c>
      <c r="K152" s="364">
        <v>1</v>
      </c>
      <c r="L152" s="364">
        <v>7</v>
      </c>
      <c r="M152" s="364">
        <v>4</v>
      </c>
      <c r="N152" s="364" t="s">
        <v>317</v>
      </c>
      <c r="O152" s="364">
        <v>0</v>
      </c>
      <c r="P152" s="364">
        <v>146</v>
      </c>
      <c r="Q152" s="364">
        <v>2</v>
      </c>
      <c r="R152" s="364"/>
      <c r="S152" s="364"/>
      <c r="T152" s="364"/>
      <c r="U152" s="364">
        <v>6508.99</v>
      </c>
      <c r="V152" s="364">
        <v>0</v>
      </c>
    </row>
    <row r="153" spans="2:22" x14ac:dyDescent="0.25">
      <c r="B153" s="364" t="s">
        <v>305</v>
      </c>
      <c r="C153" s="364" t="s">
        <v>315</v>
      </c>
      <c r="D153" s="364">
        <v>100</v>
      </c>
      <c r="E153" s="364" t="s">
        <v>364</v>
      </c>
      <c r="F153" s="364" t="s">
        <v>365</v>
      </c>
      <c r="G153" s="364" t="s">
        <v>1057</v>
      </c>
      <c r="H153" s="364" t="s">
        <v>796</v>
      </c>
      <c r="I153" s="364">
        <v>35</v>
      </c>
      <c r="J153" s="364">
        <v>83101</v>
      </c>
      <c r="K153" s="364">
        <v>1</v>
      </c>
      <c r="L153" s="364">
        <v>7</v>
      </c>
      <c r="M153" s="364">
        <v>4</v>
      </c>
      <c r="N153" s="364" t="s">
        <v>765</v>
      </c>
      <c r="O153" s="364">
        <v>0</v>
      </c>
      <c r="P153" s="364">
        <v>147</v>
      </c>
      <c r="Q153" s="364">
        <v>2</v>
      </c>
      <c r="R153" s="364"/>
      <c r="S153" s="364"/>
      <c r="T153" s="364"/>
      <c r="U153" s="364">
        <v>6227.84</v>
      </c>
      <c r="V153" s="364">
        <v>0</v>
      </c>
    </row>
    <row r="154" spans="2:22" x14ac:dyDescent="0.25">
      <c r="B154" s="364" t="s">
        <v>305</v>
      </c>
      <c r="C154" s="364" t="s">
        <v>315</v>
      </c>
      <c r="D154" s="364">
        <v>100</v>
      </c>
      <c r="E154" s="364" t="s">
        <v>470</v>
      </c>
      <c r="F154" s="364" t="s">
        <v>471</v>
      </c>
      <c r="G154" s="364" t="s">
        <v>923</v>
      </c>
      <c r="H154" s="364" t="s">
        <v>758</v>
      </c>
      <c r="I154" s="364">
        <v>35</v>
      </c>
      <c r="J154" s="364">
        <v>83101</v>
      </c>
      <c r="K154" s="364">
        <v>1</v>
      </c>
      <c r="L154" s="364">
        <v>7</v>
      </c>
      <c r="M154" s="364">
        <v>4</v>
      </c>
      <c r="N154" s="364" t="s">
        <v>759</v>
      </c>
      <c r="O154" s="364">
        <v>0</v>
      </c>
      <c r="P154" s="364">
        <v>148</v>
      </c>
      <c r="Q154" s="364">
        <v>2</v>
      </c>
      <c r="R154" s="364"/>
      <c r="S154" s="364"/>
      <c r="T154" s="364"/>
      <c r="U154" s="364">
        <v>7442.56</v>
      </c>
      <c r="V154" s="364">
        <v>0</v>
      </c>
    </row>
    <row r="155" spans="2:22" x14ac:dyDescent="0.25">
      <c r="B155" s="364" t="s">
        <v>305</v>
      </c>
      <c r="C155" s="364" t="s">
        <v>315</v>
      </c>
      <c r="D155" s="364">
        <v>100</v>
      </c>
      <c r="E155" s="364" t="s">
        <v>853</v>
      </c>
      <c r="F155" s="364" t="s">
        <v>854</v>
      </c>
      <c r="G155" s="364" t="s">
        <v>1153</v>
      </c>
      <c r="H155" s="364" t="s">
        <v>768</v>
      </c>
      <c r="I155" s="364">
        <v>35</v>
      </c>
      <c r="J155" s="364">
        <v>83101</v>
      </c>
      <c r="K155" s="364">
        <v>1</v>
      </c>
      <c r="L155" s="364">
        <v>7</v>
      </c>
      <c r="M155" s="364">
        <v>1</v>
      </c>
      <c r="N155" s="364" t="s">
        <v>769</v>
      </c>
      <c r="O155" s="364">
        <v>0</v>
      </c>
      <c r="P155" s="364">
        <v>1482</v>
      </c>
      <c r="Q155" s="364">
        <v>2</v>
      </c>
      <c r="R155" s="364"/>
      <c r="S155" s="364"/>
      <c r="T155" s="364"/>
      <c r="U155" s="364">
        <v>5240.54</v>
      </c>
      <c r="V155" s="364">
        <v>0</v>
      </c>
    </row>
    <row r="156" spans="2:22" x14ac:dyDescent="0.25">
      <c r="B156" s="364" t="s">
        <v>305</v>
      </c>
      <c r="C156" s="364" t="s">
        <v>315</v>
      </c>
      <c r="D156" s="364">
        <v>100</v>
      </c>
      <c r="E156" s="364" t="s">
        <v>869</v>
      </c>
      <c r="F156" s="364" t="s">
        <v>870</v>
      </c>
      <c r="G156" s="364" t="s">
        <v>1155</v>
      </c>
      <c r="H156" s="364" t="s">
        <v>760</v>
      </c>
      <c r="I156" s="364">
        <v>35</v>
      </c>
      <c r="J156" s="364">
        <v>83101</v>
      </c>
      <c r="K156" s="364">
        <v>1</v>
      </c>
      <c r="L156" s="364">
        <v>7</v>
      </c>
      <c r="M156" s="364">
        <v>3</v>
      </c>
      <c r="N156" s="364" t="s">
        <v>761</v>
      </c>
      <c r="O156" s="364">
        <v>0</v>
      </c>
      <c r="P156" s="364">
        <v>1484</v>
      </c>
      <c r="Q156" s="364">
        <v>2</v>
      </c>
      <c r="R156" s="364"/>
      <c r="S156" s="364"/>
      <c r="T156" s="364"/>
      <c r="U156" s="364">
        <v>8066.55</v>
      </c>
      <c r="V156" s="364">
        <v>0</v>
      </c>
    </row>
    <row r="157" spans="2:22" x14ac:dyDescent="0.25">
      <c r="B157" s="364" t="s">
        <v>305</v>
      </c>
      <c r="C157" s="364" t="s">
        <v>315</v>
      </c>
      <c r="D157" s="364">
        <v>100</v>
      </c>
      <c r="E157" s="364" t="s">
        <v>875</v>
      </c>
      <c r="F157" s="364" t="s">
        <v>876</v>
      </c>
      <c r="G157" s="364" t="s">
        <v>1156</v>
      </c>
      <c r="H157" s="364" t="s">
        <v>760</v>
      </c>
      <c r="I157" s="364">
        <v>35</v>
      </c>
      <c r="J157" s="364">
        <v>83101</v>
      </c>
      <c r="K157" s="364">
        <v>1</v>
      </c>
      <c r="L157" s="364">
        <v>7</v>
      </c>
      <c r="M157" s="364">
        <v>3</v>
      </c>
      <c r="N157" s="364" t="s">
        <v>761</v>
      </c>
      <c r="O157" s="364">
        <v>0</v>
      </c>
      <c r="P157" s="364">
        <v>1485</v>
      </c>
      <c r="Q157" s="364">
        <v>2</v>
      </c>
      <c r="R157" s="364"/>
      <c r="S157" s="364"/>
      <c r="T157" s="364"/>
      <c r="U157" s="364">
        <v>5494.75</v>
      </c>
      <c r="V157" s="364">
        <v>0</v>
      </c>
    </row>
    <row r="158" spans="2:22" x14ac:dyDescent="0.25">
      <c r="B158" s="364" t="s">
        <v>305</v>
      </c>
      <c r="C158" s="364" t="s">
        <v>315</v>
      </c>
      <c r="D158" s="364">
        <v>100</v>
      </c>
      <c r="E158" s="364" t="s">
        <v>1510</v>
      </c>
      <c r="F158" s="364" t="s">
        <v>1511</v>
      </c>
      <c r="G158" s="364" t="s">
        <v>1512</v>
      </c>
      <c r="H158" s="364" t="s">
        <v>758</v>
      </c>
      <c r="I158" s="364">
        <v>35</v>
      </c>
      <c r="J158" s="364">
        <v>83101</v>
      </c>
      <c r="K158" s="364">
        <v>1</v>
      </c>
      <c r="L158" s="364">
        <v>7</v>
      </c>
      <c r="M158" s="364">
        <v>9</v>
      </c>
      <c r="N158" s="364" t="s">
        <v>759</v>
      </c>
      <c r="O158" s="364">
        <v>0</v>
      </c>
      <c r="P158" s="364">
        <v>1486</v>
      </c>
      <c r="Q158" s="364">
        <v>2</v>
      </c>
      <c r="R158" s="364"/>
      <c r="S158" s="364"/>
      <c r="T158" s="364"/>
      <c r="U158" s="364">
        <v>5527.62</v>
      </c>
      <c r="V158" s="364">
        <v>0</v>
      </c>
    </row>
    <row r="159" spans="2:22" x14ac:dyDescent="0.25">
      <c r="B159" s="364" t="s">
        <v>305</v>
      </c>
      <c r="C159" s="364" t="s">
        <v>315</v>
      </c>
      <c r="D159" s="364">
        <v>100</v>
      </c>
      <c r="E159" s="364" t="s">
        <v>1522</v>
      </c>
      <c r="F159" s="364" t="s">
        <v>1523</v>
      </c>
      <c r="G159" s="364" t="s">
        <v>1524</v>
      </c>
      <c r="H159" s="364" t="s">
        <v>758</v>
      </c>
      <c r="I159" s="364">
        <v>35</v>
      </c>
      <c r="J159" s="364">
        <v>83101</v>
      </c>
      <c r="K159" s="364">
        <v>1</v>
      </c>
      <c r="L159" s="364">
        <v>7</v>
      </c>
      <c r="M159" s="364">
        <v>9</v>
      </c>
      <c r="N159" s="364" t="s">
        <v>759</v>
      </c>
      <c r="O159" s="364">
        <v>0</v>
      </c>
      <c r="P159" s="364">
        <v>1487</v>
      </c>
      <c r="Q159" s="364">
        <v>2</v>
      </c>
      <c r="R159" s="364"/>
      <c r="S159" s="364"/>
      <c r="T159" s="364"/>
      <c r="U159" s="364">
        <v>5527.62</v>
      </c>
      <c r="V159" s="364">
        <v>0</v>
      </c>
    </row>
    <row r="160" spans="2:22" x14ac:dyDescent="0.25">
      <c r="B160" s="364" t="s">
        <v>305</v>
      </c>
      <c r="C160" s="364" t="s">
        <v>315</v>
      </c>
      <c r="D160" s="364">
        <v>100</v>
      </c>
      <c r="E160" s="364" t="s">
        <v>877</v>
      </c>
      <c r="F160" s="364" t="s">
        <v>878</v>
      </c>
      <c r="G160" s="364" t="s">
        <v>1163</v>
      </c>
      <c r="H160" s="364" t="s">
        <v>758</v>
      </c>
      <c r="I160" s="364">
        <v>35</v>
      </c>
      <c r="J160" s="364">
        <v>83101</v>
      </c>
      <c r="K160" s="364">
        <v>1</v>
      </c>
      <c r="L160" s="364">
        <v>7</v>
      </c>
      <c r="M160" s="364">
        <v>9</v>
      </c>
      <c r="N160" s="364" t="s">
        <v>759</v>
      </c>
      <c r="O160" s="364">
        <v>0</v>
      </c>
      <c r="P160" s="364">
        <v>1488</v>
      </c>
      <c r="Q160" s="364">
        <v>2</v>
      </c>
      <c r="R160" s="364"/>
      <c r="S160" s="364"/>
      <c r="T160" s="364"/>
      <c r="U160" s="364">
        <v>5933.01</v>
      </c>
      <c r="V160" s="364">
        <v>0</v>
      </c>
    </row>
    <row r="161" spans="2:22" x14ac:dyDescent="0.25">
      <c r="B161" s="364" t="s">
        <v>305</v>
      </c>
      <c r="C161" s="364" t="s">
        <v>315</v>
      </c>
      <c r="D161" s="364">
        <v>100</v>
      </c>
      <c r="E161" s="364" t="s">
        <v>366</v>
      </c>
      <c r="F161" s="364" t="s">
        <v>367</v>
      </c>
      <c r="G161" s="364" t="s">
        <v>933</v>
      </c>
      <c r="H161" s="364" t="s">
        <v>758</v>
      </c>
      <c r="I161" s="364">
        <v>35</v>
      </c>
      <c r="J161" s="364">
        <v>83101</v>
      </c>
      <c r="K161" s="364">
        <v>1</v>
      </c>
      <c r="L161" s="364">
        <v>7</v>
      </c>
      <c r="M161" s="364">
        <v>9</v>
      </c>
      <c r="N161" s="364" t="s">
        <v>759</v>
      </c>
      <c r="O161" s="364">
        <v>0</v>
      </c>
      <c r="P161" s="364">
        <v>1489</v>
      </c>
      <c r="Q161" s="364">
        <v>2</v>
      </c>
      <c r="R161" s="364"/>
      <c r="S161" s="364"/>
      <c r="T161" s="364"/>
      <c r="U161" s="364">
        <v>6479.4</v>
      </c>
      <c r="V161" s="364">
        <v>0</v>
      </c>
    </row>
    <row r="162" spans="2:22" x14ac:dyDescent="0.25">
      <c r="B162" s="364" t="s">
        <v>305</v>
      </c>
      <c r="C162" s="364" t="s">
        <v>315</v>
      </c>
      <c r="D162" s="364">
        <v>100</v>
      </c>
      <c r="E162" s="364" t="s">
        <v>664</v>
      </c>
      <c r="F162" s="364" t="s">
        <v>665</v>
      </c>
      <c r="G162" s="364" t="s">
        <v>932</v>
      </c>
      <c r="H162" s="364" t="s">
        <v>316</v>
      </c>
      <c r="I162" s="364">
        <v>35</v>
      </c>
      <c r="J162" s="364">
        <v>83101</v>
      </c>
      <c r="K162" s="364">
        <v>1</v>
      </c>
      <c r="L162" s="364">
        <v>7</v>
      </c>
      <c r="M162" s="364">
        <v>4</v>
      </c>
      <c r="N162" s="364" t="s">
        <v>317</v>
      </c>
      <c r="O162" s="364">
        <v>0</v>
      </c>
      <c r="P162" s="364">
        <v>149</v>
      </c>
      <c r="Q162" s="364">
        <v>2</v>
      </c>
      <c r="R162" s="364"/>
      <c r="S162" s="364"/>
      <c r="T162" s="364"/>
      <c r="U162" s="364">
        <v>7961.18</v>
      </c>
      <c r="V162" s="364">
        <v>0</v>
      </c>
    </row>
    <row r="163" spans="2:22" x14ac:dyDescent="0.25">
      <c r="B163" s="364" t="s">
        <v>305</v>
      </c>
      <c r="C163" s="364" t="s">
        <v>315</v>
      </c>
      <c r="D163" s="364">
        <v>100</v>
      </c>
      <c r="E163" s="364" t="s">
        <v>881</v>
      </c>
      <c r="F163" s="364" t="s">
        <v>882</v>
      </c>
      <c r="G163" s="364" t="s">
        <v>1166</v>
      </c>
      <c r="H163" s="364" t="s">
        <v>758</v>
      </c>
      <c r="I163" s="364">
        <v>35</v>
      </c>
      <c r="J163" s="364">
        <v>83101</v>
      </c>
      <c r="K163" s="364">
        <v>1</v>
      </c>
      <c r="L163" s="364">
        <v>7</v>
      </c>
      <c r="M163" s="364">
        <v>9</v>
      </c>
      <c r="N163" s="364" t="s">
        <v>759</v>
      </c>
      <c r="O163" s="364">
        <v>0</v>
      </c>
      <c r="P163" s="364">
        <v>1490</v>
      </c>
      <c r="Q163" s="364">
        <v>2</v>
      </c>
      <c r="R163" s="364"/>
      <c r="S163" s="364"/>
      <c r="T163" s="364"/>
      <c r="U163" s="364">
        <v>5933.01</v>
      </c>
      <c r="V163" s="364">
        <v>0</v>
      </c>
    </row>
    <row r="164" spans="2:22" x14ac:dyDescent="0.25">
      <c r="B164" s="364" t="s">
        <v>305</v>
      </c>
      <c r="C164" s="364" t="s">
        <v>315</v>
      </c>
      <c r="D164" s="364">
        <v>100</v>
      </c>
      <c r="E164" s="364" t="s">
        <v>1513</v>
      </c>
      <c r="F164" s="364" t="s">
        <v>1514</v>
      </c>
      <c r="G164" s="364" t="s">
        <v>1515</v>
      </c>
      <c r="H164" s="364" t="s">
        <v>758</v>
      </c>
      <c r="I164" s="364">
        <v>35</v>
      </c>
      <c r="J164" s="364">
        <v>83101</v>
      </c>
      <c r="K164" s="364">
        <v>1</v>
      </c>
      <c r="L164" s="364">
        <v>7</v>
      </c>
      <c r="M164" s="364">
        <v>9</v>
      </c>
      <c r="N164" s="364" t="s">
        <v>759</v>
      </c>
      <c r="O164" s="364">
        <v>0</v>
      </c>
      <c r="P164" s="364">
        <v>1491</v>
      </c>
      <c r="Q164" s="364">
        <v>2</v>
      </c>
      <c r="R164" s="364"/>
      <c r="S164" s="364"/>
      <c r="T164" s="364"/>
      <c r="U164" s="364">
        <v>5527.62</v>
      </c>
      <c r="V164" s="364">
        <v>0</v>
      </c>
    </row>
    <row r="165" spans="2:22" x14ac:dyDescent="0.25">
      <c r="B165" s="364" t="s">
        <v>305</v>
      </c>
      <c r="C165" s="364" t="s">
        <v>315</v>
      </c>
      <c r="D165" s="364">
        <v>100</v>
      </c>
      <c r="E165" s="364" t="s">
        <v>370</v>
      </c>
      <c r="F165" s="364" t="s">
        <v>371</v>
      </c>
      <c r="G165" s="364" t="s">
        <v>977</v>
      </c>
      <c r="H165" s="364" t="s">
        <v>758</v>
      </c>
      <c r="I165" s="364">
        <v>35</v>
      </c>
      <c r="J165" s="364">
        <v>83101</v>
      </c>
      <c r="K165" s="364">
        <v>1</v>
      </c>
      <c r="L165" s="364">
        <v>7</v>
      </c>
      <c r="M165" s="364">
        <v>4</v>
      </c>
      <c r="N165" s="364" t="s">
        <v>759</v>
      </c>
      <c r="O165" s="364">
        <v>0</v>
      </c>
      <c r="P165" s="364">
        <v>1492</v>
      </c>
      <c r="Q165" s="364">
        <v>2</v>
      </c>
      <c r="R165" s="364"/>
      <c r="S165" s="364"/>
      <c r="T165" s="364"/>
      <c r="U165" s="364">
        <v>7054.79</v>
      </c>
      <c r="V165" s="364">
        <v>0</v>
      </c>
    </row>
    <row r="166" spans="2:22" x14ac:dyDescent="0.25">
      <c r="B166" s="364" t="s">
        <v>305</v>
      </c>
      <c r="C166" s="364" t="s">
        <v>315</v>
      </c>
      <c r="D166" s="364">
        <v>100</v>
      </c>
      <c r="E166" s="364" t="s">
        <v>336</v>
      </c>
      <c r="F166" s="364" t="s">
        <v>337</v>
      </c>
      <c r="G166" s="364" t="s">
        <v>1040</v>
      </c>
      <c r="H166" s="364" t="s">
        <v>758</v>
      </c>
      <c r="I166" s="364">
        <v>35</v>
      </c>
      <c r="J166" s="364">
        <v>83101</v>
      </c>
      <c r="K166" s="364">
        <v>1</v>
      </c>
      <c r="L166" s="364">
        <v>7</v>
      </c>
      <c r="M166" s="364">
        <v>4</v>
      </c>
      <c r="N166" s="364" t="s">
        <v>759</v>
      </c>
      <c r="O166" s="364">
        <v>0</v>
      </c>
      <c r="P166" s="364">
        <v>1493</v>
      </c>
      <c r="Q166" s="364">
        <v>2</v>
      </c>
      <c r="R166" s="364"/>
      <c r="S166" s="364"/>
      <c r="T166" s="364"/>
      <c r="U166" s="364">
        <v>6772.78</v>
      </c>
      <c r="V166" s="364">
        <v>0</v>
      </c>
    </row>
    <row r="167" spans="2:22" x14ac:dyDescent="0.25">
      <c r="B167" s="364" t="s">
        <v>305</v>
      </c>
      <c r="C167" s="364" t="s">
        <v>315</v>
      </c>
      <c r="D167" s="364">
        <v>100</v>
      </c>
      <c r="E167" s="364" t="s">
        <v>362</v>
      </c>
      <c r="F167" s="364" t="s">
        <v>363</v>
      </c>
      <c r="G167" s="364" t="s">
        <v>953</v>
      </c>
      <c r="H167" s="364" t="s">
        <v>758</v>
      </c>
      <c r="I167" s="364">
        <v>35</v>
      </c>
      <c r="J167" s="364">
        <v>83101</v>
      </c>
      <c r="K167" s="364">
        <v>1</v>
      </c>
      <c r="L167" s="364">
        <v>7</v>
      </c>
      <c r="M167" s="364">
        <v>4</v>
      </c>
      <c r="N167" s="364" t="s">
        <v>759</v>
      </c>
      <c r="O167" s="364">
        <v>0</v>
      </c>
      <c r="P167" s="364">
        <v>1494</v>
      </c>
      <c r="Q167" s="364">
        <v>2</v>
      </c>
      <c r="R167" s="364"/>
      <c r="S167" s="364"/>
      <c r="T167" s="364"/>
      <c r="U167" s="364">
        <v>7231.05</v>
      </c>
      <c r="V167" s="364">
        <v>0</v>
      </c>
    </row>
    <row r="168" spans="2:22" x14ac:dyDescent="0.25">
      <c r="B168" s="364" t="s">
        <v>305</v>
      </c>
      <c r="C168" s="364" t="s">
        <v>315</v>
      </c>
      <c r="D168" s="364">
        <v>100</v>
      </c>
      <c r="E168" s="364" t="s">
        <v>824</v>
      </c>
      <c r="F168" s="364" t="s">
        <v>825</v>
      </c>
      <c r="G168" s="364" t="s">
        <v>1132</v>
      </c>
      <c r="H168" s="364" t="s">
        <v>796</v>
      </c>
      <c r="I168" s="364">
        <v>35</v>
      </c>
      <c r="J168" s="364">
        <v>83101</v>
      </c>
      <c r="K168" s="364">
        <v>1</v>
      </c>
      <c r="L168" s="364">
        <v>7</v>
      </c>
      <c r="M168" s="364">
        <v>4</v>
      </c>
      <c r="N168" s="364" t="s">
        <v>765</v>
      </c>
      <c r="O168" s="364">
        <v>0</v>
      </c>
      <c r="P168" s="364">
        <v>1497</v>
      </c>
      <c r="Q168" s="364">
        <v>2</v>
      </c>
      <c r="R168" s="364"/>
      <c r="S168" s="364"/>
      <c r="T168" s="364"/>
      <c r="U168" s="364">
        <v>5614.98</v>
      </c>
      <c r="V168" s="364">
        <v>0</v>
      </c>
    </row>
    <row r="169" spans="2:22" x14ac:dyDescent="0.25">
      <c r="B169" s="364" t="s">
        <v>305</v>
      </c>
      <c r="C169" s="364" t="s">
        <v>315</v>
      </c>
      <c r="D169" s="364">
        <v>100</v>
      </c>
      <c r="E169" s="364" t="s">
        <v>861</v>
      </c>
      <c r="F169" s="364" t="s">
        <v>862</v>
      </c>
      <c r="G169" s="364" t="s">
        <v>1164</v>
      </c>
      <c r="H169" s="364" t="s">
        <v>796</v>
      </c>
      <c r="I169" s="364">
        <v>35</v>
      </c>
      <c r="J169" s="364">
        <v>83101</v>
      </c>
      <c r="K169" s="364">
        <v>1</v>
      </c>
      <c r="L169" s="364">
        <v>7</v>
      </c>
      <c r="M169" s="364">
        <v>4</v>
      </c>
      <c r="N169" s="364" t="s">
        <v>765</v>
      </c>
      <c r="O169" s="364">
        <v>0</v>
      </c>
      <c r="P169" s="364">
        <v>1498</v>
      </c>
      <c r="Q169" s="364">
        <v>2</v>
      </c>
      <c r="R169" s="364"/>
      <c r="S169" s="364"/>
      <c r="T169" s="364"/>
      <c r="U169" s="364">
        <v>5023.4799999999996</v>
      </c>
      <c r="V169" s="364">
        <v>0</v>
      </c>
    </row>
    <row r="170" spans="2:22" x14ac:dyDescent="0.25">
      <c r="B170" s="364" t="s">
        <v>305</v>
      </c>
      <c r="C170" s="364" t="s">
        <v>315</v>
      </c>
      <c r="D170" s="364">
        <v>100</v>
      </c>
      <c r="E170" s="364" t="s">
        <v>1178</v>
      </c>
      <c r="F170" s="364" t="s">
        <v>1179</v>
      </c>
      <c r="G170" s="364" t="s">
        <v>1180</v>
      </c>
      <c r="H170" s="364" t="s">
        <v>1370</v>
      </c>
      <c r="I170" s="364">
        <v>35</v>
      </c>
      <c r="J170" s="364">
        <v>83101</v>
      </c>
      <c r="K170" s="364">
        <v>1</v>
      </c>
      <c r="L170" s="364">
        <v>7</v>
      </c>
      <c r="M170" s="364">
        <v>2</v>
      </c>
      <c r="N170" s="364" t="s">
        <v>318</v>
      </c>
      <c r="O170" s="364">
        <v>0</v>
      </c>
      <c r="P170" s="364">
        <v>15</v>
      </c>
      <c r="Q170" s="364">
        <v>2</v>
      </c>
      <c r="R170" s="364"/>
      <c r="S170" s="364"/>
      <c r="T170" s="364"/>
      <c r="U170" s="364">
        <v>14724.57</v>
      </c>
      <c r="V170" s="364">
        <v>0</v>
      </c>
    </row>
    <row r="171" spans="2:22" x14ac:dyDescent="0.25">
      <c r="B171" s="364" t="s">
        <v>305</v>
      </c>
      <c r="C171" s="364" t="s">
        <v>315</v>
      </c>
      <c r="D171" s="364">
        <v>100</v>
      </c>
      <c r="E171" s="364" t="s">
        <v>1623</v>
      </c>
      <c r="F171" s="364" t="s">
        <v>1624</v>
      </c>
      <c r="G171" s="364" t="s">
        <v>1625</v>
      </c>
      <c r="H171" s="364" t="s">
        <v>316</v>
      </c>
      <c r="I171" s="364">
        <v>35</v>
      </c>
      <c r="J171" s="364">
        <v>83101</v>
      </c>
      <c r="K171" s="364">
        <v>1</v>
      </c>
      <c r="L171" s="364">
        <v>7</v>
      </c>
      <c r="M171" s="364">
        <v>4</v>
      </c>
      <c r="N171" s="364" t="s">
        <v>317</v>
      </c>
      <c r="O171" s="364">
        <v>0</v>
      </c>
      <c r="P171" s="364">
        <v>1503</v>
      </c>
      <c r="Q171" s="364">
        <v>2</v>
      </c>
      <c r="R171" s="364"/>
      <c r="S171" s="364"/>
      <c r="T171" s="364"/>
      <c r="U171" s="364">
        <v>6089.62</v>
      </c>
      <c r="V171" s="364">
        <v>0</v>
      </c>
    </row>
    <row r="172" spans="2:22" x14ac:dyDescent="0.25">
      <c r="B172" s="364" t="s">
        <v>305</v>
      </c>
      <c r="C172" s="364" t="s">
        <v>315</v>
      </c>
      <c r="D172" s="364">
        <v>100</v>
      </c>
      <c r="E172" s="364" t="s">
        <v>887</v>
      </c>
      <c r="F172" s="364" t="s">
        <v>888</v>
      </c>
      <c r="G172" s="364" t="s">
        <v>1170</v>
      </c>
      <c r="H172" s="364" t="s">
        <v>316</v>
      </c>
      <c r="I172" s="364">
        <v>35</v>
      </c>
      <c r="J172" s="364">
        <v>83101</v>
      </c>
      <c r="K172" s="364">
        <v>1</v>
      </c>
      <c r="L172" s="364">
        <v>7</v>
      </c>
      <c r="M172" s="364">
        <v>4</v>
      </c>
      <c r="N172" s="364" t="s">
        <v>317</v>
      </c>
      <c r="O172" s="364">
        <v>0</v>
      </c>
      <c r="P172" s="364">
        <v>1504</v>
      </c>
      <c r="Q172" s="364">
        <v>2</v>
      </c>
      <c r="R172" s="364"/>
      <c r="S172" s="364"/>
      <c r="T172" s="364"/>
      <c r="U172" s="364">
        <v>6508.99</v>
      </c>
      <c r="V172" s="364">
        <v>0</v>
      </c>
    </row>
    <row r="173" spans="2:22" x14ac:dyDescent="0.25">
      <c r="B173" s="364" t="s">
        <v>305</v>
      </c>
      <c r="C173" s="364" t="s">
        <v>315</v>
      </c>
      <c r="D173" s="364">
        <v>100</v>
      </c>
      <c r="E173" s="364" t="s">
        <v>883</v>
      </c>
      <c r="F173" s="364" t="s">
        <v>884</v>
      </c>
      <c r="G173" s="364" t="s">
        <v>1167</v>
      </c>
      <c r="H173" s="364" t="s">
        <v>316</v>
      </c>
      <c r="I173" s="364">
        <v>35</v>
      </c>
      <c r="J173" s="364">
        <v>83101</v>
      </c>
      <c r="K173" s="364">
        <v>1</v>
      </c>
      <c r="L173" s="364">
        <v>7</v>
      </c>
      <c r="M173" s="364">
        <v>4</v>
      </c>
      <c r="N173" s="364" t="s">
        <v>317</v>
      </c>
      <c r="O173" s="364">
        <v>0</v>
      </c>
      <c r="P173" s="364">
        <v>1506</v>
      </c>
      <c r="Q173" s="364">
        <v>2</v>
      </c>
      <c r="R173" s="364"/>
      <c r="S173" s="364"/>
      <c r="T173" s="364"/>
      <c r="U173" s="364">
        <v>6089.62</v>
      </c>
      <c r="V173" s="364">
        <v>0</v>
      </c>
    </row>
    <row r="174" spans="2:22" x14ac:dyDescent="0.25">
      <c r="B174" s="364" t="s">
        <v>305</v>
      </c>
      <c r="C174" s="364" t="s">
        <v>315</v>
      </c>
      <c r="D174" s="364">
        <v>100</v>
      </c>
      <c r="E174" s="364" t="s">
        <v>709</v>
      </c>
      <c r="F174" s="364" t="s">
        <v>710</v>
      </c>
      <c r="G174" s="364" t="s">
        <v>1104</v>
      </c>
      <c r="H174" s="364" t="s">
        <v>316</v>
      </c>
      <c r="I174" s="364">
        <v>35</v>
      </c>
      <c r="J174" s="364">
        <v>83101</v>
      </c>
      <c r="K174" s="364">
        <v>1</v>
      </c>
      <c r="L174" s="364">
        <v>7</v>
      </c>
      <c r="M174" s="364">
        <v>4</v>
      </c>
      <c r="N174" s="364" t="s">
        <v>317</v>
      </c>
      <c r="O174" s="364">
        <v>0</v>
      </c>
      <c r="P174" s="364">
        <v>1508</v>
      </c>
      <c r="Q174" s="364">
        <v>2</v>
      </c>
      <c r="R174" s="364"/>
      <c r="S174" s="364"/>
      <c r="T174" s="364"/>
      <c r="U174" s="364">
        <v>6089.62</v>
      </c>
      <c r="V174" s="364">
        <v>0</v>
      </c>
    </row>
    <row r="175" spans="2:22" x14ac:dyDescent="0.25">
      <c r="B175" s="364" t="s">
        <v>305</v>
      </c>
      <c r="C175" s="364" t="s">
        <v>315</v>
      </c>
      <c r="D175" s="364">
        <v>100</v>
      </c>
      <c r="E175" s="364" t="s">
        <v>885</v>
      </c>
      <c r="F175" s="364" t="s">
        <v>886</v>
      </c>
      <c r="G175" s="364" t="s">
        <v>1151</v>
      </c>
      <c r="H175" s="364" t="s">
        <v>316</v>
      </c>
      <c r="I175" s="364">
        <v>35</v>
      </c>
      <c r="J175" s="364">
        <v>83101</v>
      </c>
      <c r="K175" s="364">
        <v>1</v>
      </c>
      <c r="L175" s="364">
        <v>7</v>
      </c>
      <c r="M175" s="364">
        <v>4</v>
      </c>
      <c r="N175" s="364" t="s">
        <v>317</v>
      </c>
      <c r="O175" s="364">
        <v>0</v>
      </c>
      <c r="P175" s="364">
        <v>1509</v>
      </c>
      <c r="Q175" s="364">
        <v>2</v>
      </c>
      <c r="R175" s="364"/>
      <c r="S175" s="364"/>
      <c r="T175" s="364"/>
      <c r="U175" s="364">
        <v>6089.62</v>
      </c>
      <c r="V175" s="364">
        <v>0</v>
      </c>
    </row>
    <row r="176" spans="2:22" x14ac:dyDescent="0.25">
      <c r="B176" s="364" t="s">
        <v>305</v>
      </c>
      <c r="C176" s="364" t="s">
        <v>315</v>
      </c>
      <c r="D176" s="364">
        <v>100</v>
      </c>
      <c r="E176" s="364" t="s">
        <v>662</v>
      </c>
      <c r="F176" s="364" t="s">
        <v>663</v>
      </c>
      <c r="G176" s="364" t="s">
        <v>1387</v>
      </c>
      <c r="H176" s="364" t="s">
        <v>316</v>
      </c>
      <c r="I176" s="364">
        <v>35</v>
      </c>
      <c r="J176" s="364">
        <v>83101</v>
      </c>
      <c r="K176" s="364">
        <v>1</v>
      </c>
      <c r="L176" s="364">
        <v>7</v>
      </c>
      <c r="M176" s="364">
        <v>4</v>
      </c>
      <c r="N176" s="364" t="s">
        <v>317</v>
      </c>
      <c r="O176" s="364">
        <v>0</v>
      </c>
      <c r="P176" s="364">
        <v>151</v>
      </c>
      <c r="Q176" s="364">
        <v>2</v>
      </c>
      <c r="R176" s="364"/>
      <c r="S176" s="364"/>
      <c r="T176" s="364"/>
      <c r="U176" s="364">
        <v>6089.62</v>
      </c>
      <c r="V176" s="364">
        <v>0</v>
      </c>
    </row>
    <row r="177" spans="2:22" x14ac:dyDescent="0.25">
      <c r="B177" s="364" t="s">
        <v>305</v>
      </c>
      <c r="C177" s="364" t="s">
        <v>315</v>
      </c>
      <c r="D177" s="364">
        <v>100</v>
      </c>
      <c r="E177" s="364" t="s">
        <v>1175</v>
      </c>
      <c r="F177" s="364" t="s">
        <v>1176</v>
      </c>
      <c r="G177" s="364" t="s">
        <v>1177</v>
      </c>
      <c r="H177" s="364" t="s">
        <v>908</v>
      </c>
      <c r="I177" s="364">
        <v>35</v>
      </c>
      <c r="J177" s="364">
        <v>83101</v>
      </c>
      <c r="K177" s="364">
        <v>1</v>
      </c>
      <c r="L177" s="364">
        <v>7</v>
      </c>
      <c r="M177" s="364">
        <v>9</v>
      </c>
      <c r="N177" s="364" t="s">
        <v>772</v>
      </c>
      <c r="O177" s="364">
        <v>0</v>
      </c>
      <c r="P177" s="364">
        <v>1511</v>
      </c>
      <c r="Q177" s="364">
        <v>2</v>
      </c>
      <c r="R177" s="364"/>
      <c r="S177" s="364"/>
      <c r="T177" s="364"/>
      <c r="U177" s="364">
        <v>6752.1</v>
      </c>
      <c r="V177" s="364">
        <v>0</v>
      </c>
    </row>
    <row r="178" spans="2:22" x14ac:dyDescent="0.25">
      <c r="B178" s="364" t="s">
        <v>305</v>
      </c>
      <c r="C178" s="364" t="s">
        <v>315</v>
      </c>
      <c r="D178" s="364">
        <v>100</v>
      </c>
      <c r="E178" s="364" t="s">
        <v>826</v>
      </c>
      <c r="F178" s="364" t="s">
        <v>827</v>
      </c>
      <c r="G178" s="364" t="s">
        <v>1141</v>
      </c>
      <c r="H178" s="364" t="s">
        <v>908</v>
      </c>
      <c r="I178" s="364">
        <v>35</v>
      </c>
      <c r="J178" s="364">
        <v>83101</v>
      </c>
      <c r="K178" s="364">
        <v>1</v>
      </c>
      <c r="L178" s="364">
        <v>7</v>
      </c>
      <c r="M178" s="364">
        <v>9</v>
      </c>
      <c r="N178" s="364" t="s">
        <v>772</v>
      </c>
      <c r="O178" s="364">
        <v>0</v>
      </c>
      <c r="P178" s="364">
        <v>1512</v>
      </c>
      <c r="Q178" s="364">
        <v>2</v>
      </c>
      <c r="R178" s="364"/>
      <c r="S178" s="364"/>
      <c r="T178" s="364"/>
      <c r="U178" s="364">
        <v>7219.69</v>
      </c>
      <c r="V178" s="364">
        <v>0</v>
      </c>
    </row>
    <row r="179" spans="2:22" x14ac:dyDescent="0.25">
      <c r="B179" s="364" t="s">
        <v>305</v>
      </c>
      <c r="C179" s="364" t="s">
        <v>315</v>
      </c>
      <c r="D179" s="364">
        <v>100</v>
      </c>
      <c r="E179" s="364" t="s">
        <v>895</v>
      </c>
      <c r="F179" s="364" t="s">
        <v>896</v>
      </c>
      <c r="G179" s="364" t="s">
        <v>1157</v>
      </c>
      <c r="H179" s="364" t="s">
        <v>908</v>
      </c>
      <c r="I179" s="364">
        <v>35</v>
      </c>
      <c r="J179" s="364">
        <v>83101</v>
      </c>
      <c r="K179" s="364">
        <v>1</v>
      </c>
      <c r="L179" s="364">
        <v>7</v>
      </c>
      <c r="M179" s="364">
        <v>9</v>
      </c>
      <c r="N179" s="364" t="s">
        <v>772</v>
      </c>
      <c r="O179" s="364">
        <v>0</v>
      </c>
      <c r="P179" s="364">
        <v>1514</v>
      </c>
      <c r="Q179" s="364">
        <v>2</v>
      </c>
      <c r="R179" s="364"/>
      <c r="S179" s="364"/>
      <c r="T179" s="364"/>
      <c r="U179" s="364">
        <v>6752.1</v>
      </c>
      <c r="V179" s="364">
        <v>0</v>
      </c>
    </row>
    <row r="180" spans="2:22" x14ac:dyDescent="0.25">
      <c r="B180" s="364" t="s">
        <v>305</v>
      </c>
      <c r="C180" s="364" t="s">
        <v>315</v>
      </c>
      <c r="D180" s="364">
        <v>100</v>
      </c>
      <c r="E180" s="364" t="s">
        <v>893</v>
      </c>
      <c r="F180" s="364" t="s">
        <v>894</v>
      </c>
      <c r="G180" s="364" t="s">
        <v>1165</v>
      </c>
      <c r="H180" s="364" t="s">
        <v>908</v>
      </c>
      <c r="I180" s="364">
        <v>35</v>
      </c>
      <c r="J180" s="364">
        <v>83101</v>
      </c>
      <c r="K180" s="364">
        <v>1</v>
      </c>
      <c r="L180" s="364">
        <v>7</v>
      </c>
      <c r="M180" s="364">
        <v>9</v>
      </c>
      <c r="N180" s="364" t="s">
        <v>772</v>
      </c>
      <c r="O180" s="364">
        <v>0</v>
      </c>
      <c r="P180" s="364">
        <v>1515</v>
      </c>
      <c r="Q180" s="364">
        <v>2</v>
      </c>
      <c r="R180" s="364"/>
      <c r="S180" s="364"/>
      <c r="T180" s="364"/>
      <c r="U180" s="364">
        <v>6752.1</v>
      </c>
      <c r="V180" s="364">
        <v>0</v>
      </c>
    </row>
    <row r="181" spans="2:22" x14ac:dyDescent="0.25">
      <c r="B181" s="364" t="s">
        <v>305</v>
      </c>
      <c r="C181" s="364" t="s">
        <v>315</v>
      </c>
      <c r="D181" s="364">
        <v>100</v>
      </c>
      <c r="E181" s="364" t="s">
        <v>1525</v>
      </c>
      <c r="F181" s="364" t="s">
        <v>1526</v>
      </c>
      <c r="G181" s="364" t="s">
        <v>1527</v>
      </c>
      <c r="H181" s="364" t="s">
        <v>908</v>
      </c>
      <c r="I181" s="364">
        <v>35</v>
      </c>
      <c r="J181" s="364">
        <v>83101</v>
      </c>
      <c r="K181" s="364">
        <v>1</v>
      </c>
      <c r="L181" s="364">
        <v>7</v>
      </c>
      <c r="M181" s="364">
        <v>9</v>
      </c>
      <c r="N181" s="364" t="s">
        <v>772</v>
      </c>
      <c r="O181" s="364">
        <v>0</v>
      </c>
      <c r="P181" s="364">
        <v>1516</v>
      </c>
      <c r="Q181" s="364">
        <v>2</v>
      </c>
      <c r="R181" s="364"/>
      <c r="S181" s="364"/>
      <c r="T181" s="364"/>
      <c r="U181" s="364">
        <v>6332.73</v>
      </c>
      <c r="V181" s="364">
        <v>0</v>
      </c>
    </row>
    <row r="182" spans="2:22" x14ac:dyDescent="0.25">
      <c r="B182" s="364" t="s">
        <v>305</v>
      </c>
      <c r="C182" s="364" t="s">
        <v>315</v>
      </c>
      <c r="D182" s="364">
        <v>100</v>
      </c>
      <c r="E182" s="364" t="s">
        <v>903</v>
      </c>
      <c r="F182" s="364" t="s">
        <v>904</v>
      </c>
      <c r="G182" s="364" t="s">
        <v>1159</v>
      </c>
      <c r="H182" s="364" t="s">
        <v>1370</v>
      </c>
      <c r="I182" s="364">
        <v>35</v>
      </c>
      <c r="J182" s="364">
        <v>83101</v>
      </c>
      <c r="K182" s="364">
        <v>1</v>
      </c>
      <c r="L182" s="364">
        <v>7</v>
      </c>
      <c r="M182" s="364">
        <v>4</v>
      </c>
      <c r="N182" s="364" t="s">
        <v>318</v>
      </c>
      <c r="O182" s="364">
        <v>0</v>
      </c>
      <c r="P182" s="364">
        <v>1517</v>
      </c>
      <c r="Q182" s="364">
        <v>2</v>
      </c>
      <c r="R182" s="364"/>
      <c r="S182" s="364"/>
      <c r="T182" s="364"/>
      <c r="U182" s="364">
        <v>11918.68</v>
      </c>
      <c r="V182" s="364">
        <v>0</v>
      </c>
    </row>
    <row r="183" spans="2:22" x14ac:dyDescent="0.25">
      <c r="B183" s="364" t="s">
        <v>305</v>
      </c>
      <c r="C183" s="364" t="s">
        <v>315</v>
      </c>
      <c r="D183" s="364">
        <v>100</v>
      </c>
      <c r="E183" s="364" t="s">
        <v>434</v>
      </c>
      <c r="F183" s="364" t="s">
        <v>435</v>
      </c>
      <c r="G183" s="364" t="s">
        <v>1383</v>
      </c>
      <c r="H183" s="364" t="s">
        <v>758</v>
      </c>
      <c r="I183" s="364">
        <v>35</v>
      </c>
      <c r="J183" s="364">
        <v>83101</v>
      </c>
      <c r="K183" s="364">
        <v>1</v>
      </c>
      <c r="L183" s="364">
        <v>7</v>
      </c>
      <c r="M183" s="364">
        <v>4</v>
      </c>
      <c r="N183" s="364" t="s">
        <v>759</v>
      </c>
      <c r="O183" s="364">
        <v>0</v>
      </c>
      <c r="P183" s="364">
        <v>1519</v>
      </c>
      <c r="Q183" s="364">
        <v>2</v>
      </c>
      <c r="R183" s="364"/>
      <c r="S183" s="364"/>
      <c r="T183" s="364"/>
      <c r="U183" s="364">
        <v>6526.03</v>
      </c>
      <c r="V183" s="364">
        <v>0</v>
      </c>
    </row>
    <row r="184" spans="2:22" x14ac:dyDescent="0.25">
      <c r="B184" s="364" t="s">
        <v>305</v>
      </c>
      <c r="C184" s="364" t="s">
        <v>315</v>
      </c>
      <c r="D184" s="364">
        <v>100</v>
      </c>
      <c r="E184" s="364" t="s">
        <v>450</v>
      </c>
      <c r="F184" s="364" t="s">
        <v>451</v>
      </c>
      <c r="G184" s="364" t="s">
        <v>947</v>
      </c>
      <c r="H184" s="364" t="s">
        <v>760</v>
      </c>
      <c r="I184" s="364">
        <v>35</v>
      </c>
      <c r="J184" s="364">
        <v>83101</v>
      </c>
      <c r="K184" s="364">
        <v>1</v>
      </c>
      <c r="L184" s="364">
        <v>7</v>
      </c>
      <c r="M184" s="364">
        <v>4</v>
      </c>
      <c r="N184" s="364" t="s">
        <v>761</v>
      </c>
      <c r="O184" s="364">
        <v>0</v>
      </c>
      <c r="P184" s="364">
        <v>152</v>
      </c>
      <c r="Q184" s="364">
        <v>2</v>
      </c>
      <c r="R184" s="364"/>
      <c r="S184" s="364"/>
      <c r="T184" s="364"/>
      <c r="U184" s="364">
        <v>5946.04</v>
      </c>
      <c r="V184" s="364">
        <v>0</v>
      </c>
    </row>
    <row r="185" spans="2:22" x14ac:dyDescent="0.25">
      <c r="B185" s="364" t="s">
        <v>305</v>
      </c>
      <c r="C185" s="364" t="s">
        <v>315</v>
      </c>
      <c r="D185" s="364">
        <v>100</v>
      </c>
      <c r="E185" s="364" t="s">
        <v>732</v>
      </c>
      <c r="F185" s="364" t="s">
        <v>733</v>
      </c>
      <c r="G185" s="364" t="s">
        <v>1042</v>
      </c>
      <c r="H185" s="364" t="s">
        <v>1392</v>
      </c>
      <c r="I185" s="364">
        <v>35</v>
      </c>
      <c r="J185" s="364">
        <v>83101</v>
      </c>
      <c r="K185" s="364">
        <v>1</v>
      </c>
      <c r="L185" s="364">
        <v>7</v>
      </c>
      <c r="M185" s="364">
        <v>3</v>
      </c>
      <c r="N185" s="364" t="s">
        <v>1759</v>
      </c>
      <c r="O185" s="364">
        <v>0</v>
      </c>
      <c r="P185" s="364">
        <v>1521</v>
      </c>
      <c r="Q185" s="364">
        <v>2</v>
      </c>
      <c r="R185" s="364"/>
      <c r="S185" s="364"/>
      <c r="T185" s="364"/>
      <c r="U185" s="364">
        <v>8657.35</v>
      </c>
      <c r="V185" s="364">
        <v>0</v>
      </c>
    </row>
    <row r="186" spans="2:22" x14ac:dyDescent="0.25">
      <c r="B186" s="364" t="s">
        <v>305</v>
      </c>
      <c r="C186" s="364" t="s">
        <v>315</v>
      </c>
      <c r="D186" s="364">
        <v>100</v>
      </c>
      <c r="E186" s="364" t="s">
        <v>1474</v>
      </c>
      <c r="F186" s="364" t="s">
        <v>1475</v>
      </c>
      <c r="G186" s="364" t="s">
        <v>1476</v>
      </c>
      <c r="H186" s="364" t="s">
        <v>1392</v>
      </c>
      <c r="I186" s="364">
        <v>35</v>
      </c>
      <c r="J186" s="364">
        <v>83101</v>
      </c>
      <c r="K186" s="364">
        <v>1</v>
      </c>
      <c r="L186" s="364">
        <v>7</v>
      </c>
      <c r="M186" s="364">
        <v>5</v>
      </c>
      <c r="N186" s="364" t="s">
        <v>1759</v>
      </c>
      <c r="O186" s="364">
        <v>0</v>
      </c>
      <c r="P186" s="364">
        <v>1522</v>
      </c>
      <c r="Q186" s="364">
        <v>2</v>
      </c>
      <c r="R186" s="364"/>
      <c r="S186" s="364"/>
      <c r="T186" s="364"/>
      <c r="U186" s="364">
        <v>8564.85</v>
      </c>
      <c r="V186" s="364">
        <v>0</v>
      </c>
    </row>
    <row r="187" spans="2:22" x14ac:dyDescent="0.25">
      <c r="B187" s="364" t="s">
        <v>305</v>
      </c>
      <c r="C187" s="364" t="s">
        <v>315</v>
      </c>
      <c r="D187" s="364">
        <v>100</v>
      </c>
      <c r="E187" s="364" t="s">
        <v>728</v>
      </c>
      <c r="F187" s="364" t="s">
        <v>729</v>
      </c>
      <c r="G187" s="364" t="s">
        <v>959</v>
      </c>
      <c r="H187" s="364" t="s">
        <v>1392</v>
      </c>
      <c r="I187" s="364">
        <v>35</v>
      </c>
      <c r="J187" s="364">
        <v>83101</v>
      </c>
      <c r="K187" s="364">
        <v>1</v>
      </c>
      <c r="L187" s="364">
        <v>7</v>
      </c>
      <c r="M187" s="364">
        <v>6</v>
      </c>
      <c r="N187" s="364" t="s">
        <v>1759</v>
      </c>
      <c r="O187" s="364">
        <v>0</v>
      </c>
      <c r="P187" s="364">
        <v>1523</v>
      </c>
      <c r="Q187" s="364">
        <v>2</v>
      </c>
      <c r="R187" s="364"/>
      <c r="S187" s="364"/>
      <c r="T187" s="364"/>
      <c r="U187" s="364">
        <v>8694.85</v>
      </c>
      <c r="V187" s="364">
        <v>0</v>
      </c>
    </row>
    <row r="188" spans="2:22" x14ac:dyDescent="0.25">
      <c r="B188" s="364" t="s">
        <v>305</v>
      </c>
      <c r="C188" s="364" t="s">
        <v>315</v>
      </c>
      <c r="D188" s="364">
        <v>100</v>
      </c>
      <c r="E188" s="364" t="s">
        <v>1427</v>
      </c>
      <c r="F188" s="364" t="s">
        <v>1428</v>
      </c>
      <c r="G188" s="364" t="s">
        <v>1429</v>
      </c>
      <c r="H188" s="364" t="s">
        <v>1392</v>
      </c>
      <c r="I188" s="364">
        <v>35</v>
      </c>
      <c r="J188" s="364">
        <v>83101</v>
      </c>
      <c r="K188" s="364">
        <v>1</v>
      </c>
      <c r="L188" s="364">
        <v>7</v>
      </c>
      <c r="M188" s="364">
        <v>4</v>
      </c>
      <c r="N188" s="364" t="s">
        <v>1759</v>
      </c>
      <c r="O188" s="364">
        <v>0</v>
      </c>
      <c r="P188" s="364">
        <v>1525</v>
      </c>
      <c r="Q188" s="364">
        <v>2</v>
      </c>
      <c r="R188" s="364"/>
      <c r="S188" s="364"/>
      <c r="T188" s="364"/>
      <c r="U188" s="364">
        <v>8564.85</v>
      </c>
      <c r="V188" s="364">
        <v>0</v>
      </c>
    </row>
    <row r="189" spans="2:22" x14ac:dyDescent="0.25">
      <c r="B189" s="364" t="s">
        <v>305</v>
      </c>
      <c r="C189" s="364" t="s">
        <v>315</v>
      </c>
      <c r="D189" s="364">
        <v>100</v>
      </c>
      <c r="E189" s="364" t="s">
        <v>726</v>
      </c>
      <c r="F189" s="364" t="s">
        <v>727</v>
      </c>
      <c r="G189" s="364" t="s">
        <v>1004</v>
      </c>
      <c r="H189" s="364" t="s">
        <v>1392</v>
      </c>
      <c r="I189" s="364">
        <v>35</v>
      </c>
      <c r="J189" s="364">
        <v>83101</v>
      </c>
      <c r="K189" s="364">
        <v>1</v>
      </c>
      <c r="L189" s="364">
        <v>7</v>
      </c>
      <c r="M189" s="364">
        <v>9</v>
      </c>
      <c r="N189" s="364" t="s">
        <v>1759</v>
      </c>
      <c r="O189" s="364">
        <v>0</v>
      </c>
      <c r="P189" s="364">
        <v>1526</v>
      </c>
      <c r="Q189" s="364">
        <v>2</v>
      </c>
      <c r="R189" s="364"/>
      <c r="S189" s="364"/>
      <c r="T189" s="364"/>
      <c r="U189" s="364">
        <v>8682.35</v>
      </c>
      <c r="V189" s="364">
        <v>0</v>
      </c>
    </row>
    <row r="190" spans="2:22" x14ac:dyDescent="0.25">
      <c r="B190" s="364" t="s">
        <v>305</v>
      </c>
      <c r="C190" s="364" t="s">
        <v>315</v>
      </c>
      <c r="D190" s="364">
        <v>100</v>
      </c>
      <c r="E190" s="364" t="s">
        <v>730</v>
      </c>
      <c r="F190" s="364" t="s">
        <v>731</v>
      </c>
      <c r="G190" s="364" t="s">
        <v>1382</v>
      </c>
      <c r="H190" s="364" t="s">
        <v>1392</v>
      </c>
      <c r="I190" s="364">
        <v>35</v>
      </c>
      <c r="J190" s="364">
        <v>83101</v>
      </c>
      <c r="K190" s="364">
        <v>1</v>
      </c>
      <c r="L190" s="364">
        <v>7</v>
      </c>
      <c r="M190" s="364">
        <v>1</v>
      </c>
      <c r="N190" s="364" t="s">
        <v>1759</v>
      </c>
      <c r="O190" s="364">
        <v>0</v>
      </c>
      <c r="P190" s="364">
        <v>1527</v>
      </c>
      <c r="Q190" s="364">
        <v>2</v>
      </c>
      <c r="R190" s="364"/>
      <c r="S190" s="364"/>
      <c r="T190" s="364"/>
      <c r="U190" s="364">
        <v>8644.85</v>
      </c>
      <c r="V190" s="364">
        <v>0</v>
      </c>
    </row>
    <row r="191" spans="2:22" x14ac:dyDescent="0.25">
      <c r="B191" s="364" t="s">
        <v>305</v>
      </c>
      <c r="C191" s="364" t="s">
        <v>315</v>
      </c>
      <c r="D191" s="364">
        <v>100</v>
      </c>
      <c r="E191" s="364" t="s">
        <v>899</v>
      </c>
      <c r="F191" s="364" t="s">
        <v>900</v>
      </c>
      <c r="G191" s="364" t="s">
        <v>1161</v>
      </c>
      <c r="H191" s="364" t="s">
        <v>1392</v>
      </c>
      <c r="I191" s="364">
        <v>35</v>
      </c>
      <c r="J191" s="364">
        <v>83101</v>
      </c>
      <c r="K191" s="364">
        <v>1</v>
      </c>
      <c r="L191" s="364">
        <v>7</v>
      </c>
      <c r="M191" s="364">
        <v>1</v>
      </c>
      <c r="N191" s="364" t="s">
        <v>1759</v>
      </c>
      <c r="O191" s="364">
        <v>0</v>
      </c>
      <c r="P191" s="364">
        <v>1528</v>
      </c>
      <c r="Q191" s="364">
        <v>2</v>
      </c>
      <c r="R191" s="364"/>
      <c r="S191" s="364"/>
      <c r="T191" s="364"/>
      <c r="U191" s="364">
        <v>8564.85</v>
      </c>
      <c r="V191" s="364">
        <v>0</v>
      </c>
    </row>
    <row r="192" spans="2:22" x14ac:dyDescent="0.25">
      <c r="B192" s="364" t="s">
        <v>305</v>
      </c>
      <c r="C192" s="364" t="s">
        <v>315</v>
      </c>
      <c r="D192" s="364">
        <v>100</v>
      </c>
      <c r="E192" s="364" t="s">
        <v>879</v>
      </c>
      <c r="F192" s="364" t="s">
        <v>880</v>
      </c>
      <c r="G192" s="364" t="s">
        <v>1152</v>
      </c>
      <c r="H192" s="364" t="s">
        <v>1392</v>
      </c>
      <c r="I192" s="364">
        <v>35</v>
      </c>
      <c r="J192" s="364">
        <v>83101</v>
      </c>
      <c r="K192" s="364">
        <v>1</v>
      </c>
      <c r="L192" s="364">
        <v>7</v>
      </c>
      <c r="M192" s="364">
        <v>1</v>
      </c>
      <c r="N192" s="364" t="s">
        <v>1759</v>
      </c>
      <c r="O192" s="364">
        <v>0</v>
      </c>
      <c r="P192" s="364">
        <v>1529</v>
      </c>
      <c r="Q192" s="364">
        <v>2</v>
      </c>
      <c r="R192" s="364"/>
      <c r="S192" s="364"/>
      <c r="T192" s="364"/>
      <c r="U192" s="364">
        <v>8564.85</v>
      </c>
      <c r="V192" s="364">
        <v>0</v>
      </c>
    </row>
    <row r="193" spans="2:22" x14ac:dyDescent="0.25">
      <c r="B193" s="364" t="s">
        <v>305</v>
      </c>
      <c r="C193" s="364" t="s">
        <v>315</v>
      </c>
      <c r="D193" s="364">
        <v>100</v>
      </c>
      <c r="E193" s="364" t="s">
        <v>598</v>
      </c>
      <c r="F193" s="364" t="s">
        <v>599</v>
      </c>
      <c r="G193" s="364" t="s">
        <v>996</v>
      </c>
      <c r="H193" s="364" t="s">
        <v>316</v>
      </c>
      <c r="I193" s="364">
        <v>35</v>
      </c>
      <c r="J193" s="364">
        <v>83101</v>
      </c>
      <c r="K193" s="364">
        <v>1</v>
      </c>
      <c r="L193" s="364">
        <v>7</v>
      </c>
      <c r="M193" s="364">
        <v>4</v>
      </c>
      <c r="N193" s="364" t="s">
        <v>317</v>
      </c>
      <c r="O193" s="364">
        <v>0</v>
      </c>
      <c r="P193" s="364">
        <v>153</v>
      </c>
      <c r="Q193" s="364">
        <v>2</v>
      </c>
      <c r="R193" s="364"/>
      <c r="S193" s="364"/>
      <c r="T193" s="364"/>
      <c r="U193" s="364">
        <v>7596.51</v>
      </c>
      <c r="V193" s="364">
        <v>0</v>
      </c>
    </row>
    <row r="194" spans="2:22" x14ac:dyDescent="0.25">
      <c r="B194" s="364" t="s">
        <v>305</v>
      </c>
      <c r="C194" s="364" t="s">
        <v>315</v>
      </c>
      <c r="D194" s="364">
        <v>100</v>
      </c>
      <c r="E194" s="364" t="s">
        <v>372</v>
      </c>
      <c r="F194" s="364" t="s">
        <v>373</v>
      </c>
      <c r="G194" s="364" t="s">
        <v>1692</v>
      </c>
      <c r="H194" s="364" t="s">
        <v>1392</v>
      </c>
      <c r="I194" s="364">
        <v>35</v>
      </c>
      <c r="J194" s="364">
        <v>83101</v>
      </c>
      <c r="K194" s="364">
        <v>1</v>
      </c>
      <c r="L194" s="364">
        <v>7</v>
      </c>
      <c r="M194" s="364">
        <v>4</v>
      </c>
      <c r="N194" s="364" t="s">
        <v>1759</v>
      </c>
      <c r="O194" s="364">
        <v>0</v>
      </c>
      <c r="P194" s="364">
        <v>1532</v>
      </c>
      <c r="Q194" s="364">
        <v>2</v>
      </c>
      <c r="R194" s="364"/>
      <c r="S194" s="364"/>
      <c r="T194" s="364"/>
      <c r="U194" s="364">
        <v>8644.85</v>
      </c>
      <c r="V194" s="364">
        <v>0</v>
      </c>
    </row>
    <row r="195" spans="2:22" x14ac:dyDescent="0.25">
      <c r="B195" s="364" t="s">
        <v>305</v>
      </c>
      <c r="C195" s="364" t="s">
        <v>315</v>
      </c>
      <c r="D195" s="364">
        <v>100</v>
      </c>
      <c r="E195" s="364" t="s">
        <v>897</v>
      </c>
      <c r="F195" s="364" t="s">
        <v>898</v>
      </c>
      <c r="G195" s="364" t="s">
        <v>1150</v>
      </c>
      <c r="H195" s="364" t="s">
        <v>1375</v>
      </c>
      <c r="I195" s="364">
        <v>35</v>
      </c>
      <c r="J195" s="364">
        <v>83101</v>
      </c>
      <c r="K195" s="364">
        <v>1</v>
      </c>
      <c r="L195" s="364">
        <v>7</v>
      </c>
      <c r="M195" s="364">
        <v>1</v>
      </c>
      <c r="N195" s="364" t="s">
        <v>771</v>
      </c>
      <c r="O195" s="364">
        <v>0</v>
      </c>
      <c r="P195" s="364">
        <v>1534</v>
      </c>
      <c r="Q195" s="364">
        <v>2</v>
      </c>
      <c r="R195" s="364"/>
      <c r="S195" s="364"/>
      <c r="T195" s="364"/>
      <c r="U195" s="364">
        <v>6292.82</v>
      </c>
      <c r="V195" s="364">
        <v>0</v>
      </c>
    </row>
    <row r="196" spans="2:22" x14ac:dyDescent="0.25">
      <c r="B196" s="364" t="s">
        <v>305</v>
      </c>
      <c r="C196" s="364" t="s">
        <v>315</v>
      </c>
      <c r="D196" s="364">
        <v>100</v>
      </c>
      <c r="E196" s="364" t="s">
        <v>842</v>
      </c>
      <c r="F196" s="364" t="s">
        <v>843</v>
      </c>
      <c r="G196" s="364" t="s">
        <v>1133</v>
      </c>
      <c r="H196" s="364" t="s">
        <v>1375</v>
      </c>
      <c r="I196" s="364">
        <v>35</v>
      </c>
      <c r="J196" s="364">
        <v>83101</v>
      </c>
      <c r="K196" s="364">
        <v>1</v>
      </c>
      <c r="L196" s="364">
        <v>7</v>
      </c>
      <c r="M196" s="364">
        <v>1</v>
      </c>
      <c r="N196" s="364" t="s">
        <v>771</v>
      </c>
      <c r="O196" s="364">
        <v>0</v>
      </c>
      <c r="P196" s="364">
        <v>1535</v>
      </c>
      <c r="Q196" s="364">
        <v>2</v>
      </c>
      <c r="R196" s="364"/>
      <c r="S196" s="364"/>
      <c r="T196" s="364"/>
      <c r="U196" s="364">
        <v>6292.82</v>
      </c>
      <c r="V196" s="364">
        <v>0</v>
      </c>
    </row>
    <row r="197" spans="2:22" x14ac:dyDescent="0.25">
      <c r="B197" s="364" t="s">
        <v>305</v>
      </c>
      <c r="C197" s="364" t="s">
        <v>315</v>
      </c>
      <c r="D197" s="364">
        <v>100</v>
      </c>
      <c r="E197" s="364" t="s">
        <v>844</v>
      </c>
      <c r="F197" s="364" t="s">
        <v>845</v>
      </c>
      <c r="G197" s="364" t="s">
        <v>1134</v>
      </c>
      <c r="H197" s="364" t="s">
        <v>1392</v>
      </c>
      <c r="I197" s="364">
        <v>35</v>
      </c>
      <c r="J197" s="364">
        <v>83101</v>
      </c>
      <c r="K197" s="364">
        <v>1</v>
      </c>
      <c r="L197" s="364">
        <v>7</v>
      </c>
      <c r="M197" s="364">
        <v>1</v>
      </c>
      <c r="N197" s="364" t="s">
        <v>1759</v>
      </c>
      <c r="O197" s="364">
        <v>0</v>
      </c>
      <c r="P197" s="364">
        <v>1536</v>
      </c>
      <c r="Q197" s="364">
        <v>2</v>
      </c>
      <c r="R197" s="364"/>
      <c r="S197" s="364"/>
      <c r="T197" s="364"/>
      <c r="U197" s="364">
        <v>8564.85</v>
      </c>
      <c r="V197" s="364">
        <v>0</v>
      </c>
    </row>
    <row r="198" spans="2:22" x14ac:dyDescent="0.25">
      <c r="B198" s="364" t="s">
        <v>305</v>
      </c>
      <c r="C198" s="364" t="s">
        <v>315</v>
      </c>
      <c r="D198" s="364">
        <v>100</v>
      </c>
      <c r="E198" s="364" t="s">
        <v>1597</v>
      </c>
      <c r="F198" s="364" t="s">
        <v>1598</v>
      </c>
      <c r="G198" s="364" t="s">
        <v>1599</v>
      </c>
      <c r="H198" s="364" t="s">
        <v>1392</v>
      </c>
      <c r="I198" s="364">
        <v>35</v>
      </c>
      <c r="J198" s="364">
        <v>83101</v>
      </c>
      <c r="K198" s="364">
        <v>1</v>
      </c>
      <c r="L198" s="364">
        <v>7</v>
      </c>
      <c r="M198" s="364">
        <v>3</v>
      </c>
      <c r="N198" s="364" t="s">
        <v>1759</v>
      </c>
      <c r="O198" s="364">
        <v>0</v>
      </c>
      <c r="P198" s="364">
        <v>1537</v>
      </c>
      <c r="Q198" s="364">
        <v>2</v>
      </c>
      <c r="R198" s="364"/>
      <c r="S198" s="364"/>
      <c r="T198" s="364"/>
      <c r="U198" s="364">
        <v>8564.85</v>
      </c>
      <c r="V198" s="364">
        <v>0</v>
      </c>
    </row>
    <row r="199" spans="2:22" x14ac:dyDescent="0.25">
      <c r="B199" s="364" t="s">
        <v>305</v>
      </c>
      <c r="C199" s="364" t="s">
        <v>315</v>
      </c>
      <c r="D199" s="364">
        <v>100</v>
      </c>
      <c r="E199" s="364" t="s">
        <v>636</v>
      </c>
      <c r="F199" s="364" t="s">
        <v>637</v>
      </c>
      <c r="G199" s="364" t="s">
        <v>1033</v>
      </c>
      <c r="H199" s="364" t="s">
        <v>316</v>
      </c>
      <c r="I199" s="364">
        <v>35</v>
      </c>
      <c r="J199" s="364">
        <v>83101</v>
      </c>
      <c r="K199" s="364">
        <v>1</v>
      </c>
      <c r="L199" s="364">
        <v>7</v>
      </c>
      <c r="M199" s="364">
        <v>4</v>
      </c>
      <c r="N199" s="364" t="s">
        <v>317</v>
      </c>
      <c r="O199" s="364">
        <v>0</v>
      </c>
      <c r="P199" s="364">
        <v>154</v>
      </c>
      <c r="Q199" s="364">
        <v>2</v>
      </c>
      <c r="R199" s="364"/>
      <c r="S199" s="364"/>
      <c r="T199" s="364"/>
      <c r="U199" s="364">
        <v>7450.65</v>
      </c>
      <c r="V199" s="364">
        <v>0</v>
      </c>
    </row>
    <row r="200" spans="2:22" x14ac:dyDescent="0.25">
      <c r="B200" s="364" t="s">
        <v>305</v>
      </c>
      <c r="C200" s="364" t="s">
        <v>315</v>
      </c>
      <c r="D200" s="364">
        <v>100</v>
      </c>
      <c r="E200" s="364" t="s">
        <v>855</v>
      </c>
      <c r="F200" s="364" t="s">
        <v>856</v>
      </c>
      <c r="G200" s="364" t="s">
        <v>1168</v>
      </c>
      <c r="H200" s="364" t="s">
        <v>763</v>
      </c>
      <c r="I200" s="364">
        <v>35</v>
      </c>
      <c r="J200" s="364">
        <v>83101</v>
      </c>
      <c r="K200" s="364">
        <v>1</v>
      </c>
      <c r="L200" s="364">
        <v>7</v>
      </c>
      <c r="M200" s="364">
        <v>4</v>
      </c>
      <c r="N200" s="364" t="s">
        <v>764</v>
      </c>
      <c r="O200" s="364">
        <v>0</v>
      </c>
      <c r="P200" s="364">
        <v>155</v>
      </c>
      <c r="Q200" s="364">
        <v>2</v>
      </c>
      <c r="R200" s="364"/>
      <c r="S200" s="364"/>
      <c r="T200" s="364"/>
      <c r="U200" s="364">
        <v>5614.98</v>
      </c>
      <c r="V200" s="364">
        <v>0</v>
      </c>
    </row>
    <row r="201" spans="2:22" x14ac:dyDescent="0.25">
      <c r="B201" s="364" t="s">
        <v>305</v>
      </c>
      <c r="C201" s="364" t="s">
        <v>315</v>
      </c>
      <c r="D201" s="364">
        <v>100</v>
      </c>
      <c r="E201" s="364" t="s">
        <v>610</v>
      </c>
      <c r="F201" s="364" t="s">
        <v>611</v>
      </c>
      <c r="G201" s="364" t="s">
        <v>1051</v>
      </c>
      <c r="H201" s="364" t="s">
        <v>316</v>
      </c>
      <c r="I201" s="364">
        <v>35</v>
      </c>
      <c r="J201" s="364">
        <v>83101</v>
      </c>
      <c r="K201" s="364">
        <v>1</v>
      </c>
      <c r="L201" s="364">
        <v>7</v>
      </c>
      <c r="M201" s="364">
        <v>4</v>
      </c>
      <c r="N201" s="364" t="s">
        <v>317</v>
      </c>
      <c r="O201" s="364">
        <v>0</v>
      </c>
      <c r="P201" s="364">
        <v>156</v>
      </c>
      <c r="Q201" s="364">
        <v>2</v>
      </c>
      <c r="R201" s="364"/>
      <c r="S201" s="364"/>
      <c r="T201" s="364"/>
      <c r="U201" s="364">
        <v>7195.38</v>
      </c>
      <c r="V201" s="364">
        <v>0</v>
      </c>
    </row>
    <row r="202" spans="2:22" x14ac:dyDescent="0.25">
      <c r="B202" s="364" t="s">
        <v>305</v>
      </c>
      <c r="C202" s="364" t="s">
        <v>315</v>
      </c>
      <c r="D202" s="364">
        <v>100</v>
      </c>
      <c r="E202" s="364" t="s">
        <v>673</v>
      </c>
      <c r="F202" s="364" t="s">
        <v>674</v>
      </c>
      <c r="G202" s="364" t="s">
        <v>934</v>
      </c>
      <c r="H202" s="364" t="s">
        <v>316</v>
      </c>
      <c r="I202" s="364">
        <v>35</v>
      </c>
      <c r="J202" s="364">
        <v>83101</v>
      </c>
      <c r="K202" s="364">
        <v>1</v>
      </c>
      <c r="L202" s="364">
        <v>7</v>
      </c>
      <c r="M202" s="364">
        <v>4</v>
      </c>
      <c r="N202" s="364" t="s">
        <v>317</v>
      </c>
      <c r="O202" s="364">
        <v>0</v>
      </c>
      <c r="P202" s="364">
        <v>157</v>
      </c>
      <c r="Q202" s="364">
        <v>2</v>
      </c>
      <c r="R202" s="364"/>
      <c r="S202" s="364"/>
      <c r="T202" s="364"/>
      <c r="U202" s="364">
        <v>7961.18</v>
      </c>
      <c r="V202" s="364">
        <v>0</v>
      </c>
    </row>
    <row r="203" spans="2:22" x14ac:dyDescent="0.25">
      <c r="B203" s="364" t="s">
        <v>305</v>
      </c>
      <c r="C203" s="364" t="s">
        <v>315</v>
      </c>
      <c r="D203" s="364">
        <v>100</v>
      </c>
      <c r="E203" s="364" t="s">
        <v>800</v>
      </c>
      <c r="F203" s="364" t="s">
        <v>801</v>
      </c>
      <c r="G203" s="364" t="s">
        <v>1126</v>
      </c>
      <c r="H203" s="364" t="s">
        <v>768</v>
      </c>
      <c r="I203" s="364">
        <v>35</v>
      </c>
      <c r="J203" s="364">
        <v>83101</v>
      </c>
      <c r="K203" s="364">
        <v>1</v>
      </c>
      <c r="L203" s="364">
        <v>7</v>
      </c>
      <c r="M203" s="364">
        <v>1</v>
      </c>
      <c r="N203" s="364" t="s">
        <v>769</v>
      </c>
      <c r="O203" s="364">
        <v>0</v>
      </c>
      <c r="P203" s="364">
        <v>158</v>
      </c>
      <c r="Q203" s="364">
        <v>2</v>
      </c>
      <c r="R203" s="364"/>
      <c r="S203" s="364"/>
      <c r="T203" s="364"/>
      <c r="U203" s="364">
        <v>5397.92</v>
      </c>
      <c r="V203" s="364">
        <v>0</v>
      </c>
    </row>
    <row r="204" spans="2:22" x14ac:dyDescent="0.25">
      <c r="B204" s="364" t="s">
        <v>305</v>
      </c>
      <c r="C204" s="364" t="s">
        <v>315</v>
      </c>
      <c r="D204" s="364">
        <v>100</v>
      </c>
      <c r="E204" s="364" t="s">
        <v>750</v>
      </c>
      <c r="F204" s="364" t="s">
        <v>751</v>
      </c>
      <c r="G204" s="364" t="s">
        <v>1078</v>
      </c>
      <c r="H204" s="364" t="s">
        <v>766</v>
      </c>
      <c r="I204" s="364">
        <v>35</v>
      </c>
      <c r="J204" s="364">
        <v>83101</v>
      </c>
      <c r="K204" s="364">
        <v>1</v>
      </c>
      <c r="L204" s="364">
        <v>7</v>
      </c>
      <c r="M204" s="364">
        <v>3</v>
      </c>
      <c r="N204" s="364" t="s">
        <v>767</v>
      </c>
      <c r="O204" s="364">
        <v>0</v>
      </c>
      <c r="P204" s="364">
        <v>16</v>
      </c>
      <c r="Q204" s="364">
        <v>2</v>
      </c>
      <c r="R204" s="364"/>
      <c r="S204" s="364"/>
      <c r="T204" s="364"/>
      <c r="U204" s="364">
        <v>13019.87</v>
      </c>
      <c r="V204" s="364">
        <v>0</v>
      </c>
    </row>
    <row r="205" spans="2:22" x14ac:dyDescent="0.25">
      <c r="B205" s="364" t="s">
        <v>305</v>
      </c>
      <c r="C205" s="364" t="s">
        <v>315</v>
      </c>
      <c r="D205" s="364">
        <v>100</v>
      </c>
      <c r="E205" s="364" t="s">
        <v>742</v>
      </c>
      <c r="F205" s="364" t="s">
        <v>743</v>
      </c>
      <c r="G205" s="364" t="s">
        <v>919</v>
      </c>
      <c r="H205" s="364" t="s">
        <v>1370</v>
      </c>
      <c r="I205" s="364">
        <v>35</v>
      </c>
      <c r="J205" s="364">
        <v>83101</v>
      </c>
      <c r="K205" s="364">
        <v>1</v>
      </c>
      <c r="L205" s="364">
        <v>7</v>
      </c>
      <c r="M205" s="364">
        <v>4</v>
      </c>
      <c r="N205" s="364" t="s">
        <v>318</v>
      </c>
      <c r="O205" s="364">
        <v>0</v>
      </c>
      <c r="P205" s="364">
        <v>160</v>
      </c>
      <c r="Q205" s="364">
        <v>2</v>
      </c>
      <c r="R205" s="364"/>
      <c r="S205" s="364"/>
      <c r="T205" s="364"/>
      <c r="U205" s="364">
        <v>12061.18</v>
      </c>
      <c r="V205" s="364">
        <v>0</v>
      </c>
    </row>
    <row r="206" spans="2:22" x14ac:dyDescent="0.25">
      <c r="B206" s="364" t="s">
        <v>305</v>
      </c>
      <c r="C206" s="364" t="s">
        <v>315</v>
      </c>
      <c r="D206" s="364">
        <v>100</v>
      </c>
      <c r="E206" s="364" t="s">
        <v>344</v>
      </c>
      <c r="F206" s="364" t="s">
        <v>345</v>
      </c>
      <c r="G206" s="364" t="s">
        <v>1050</v>
      </c>
      <c r="H206" s="364" t="s">
        <v>760</v>
      </c>
      <c r="I206" s="364">
        <v>35</v>
      </c>
      <c r="J206" s="364">
        <v>83101</v>
      </c>
      <c r="K206" s="364">
        <v>1</v>
      </c>
      <c r="L206" s="364">
        <v>7</v>
      </c>
      <c r="M206" s="364">
        <v>4</v>
      </c>
      <c r="N206" s="364" t="s">
        <v>761</v>
      </c>
      <c r="O206" s="364">
        <v>0</v>
      </c>
      <c r="P206" s="364">
        <v>162</v>
      </c>
      <c r="Q206" s="364">
        <v>2</v>
      </c>
      <c r="R206" s="364"/>
      <c r="S206" s="364"/>
      <c r="T206" s="364"/>
      <c r="U206" s="364">
        <v>6380.23</v>
      </c>
      <c r="V206" s="364">
        <v>0</v>
      </c>
    </row>
    <row r="207" spans="2:22" x14ac:dyDescent="0.25">
      <c r="B207" s="364" t="s">
        <v>305</v>
      </c>
      <c r="C207" s="364" t="s">
        <v>315</v>
      </c>
      <c r="D207" s="364">
        <v>100</v>
      </c>
      <c r="E207" s="364" t="s">
        <v>1094</v>
      </c>
      <c r="F207" s="364" t="s">
        <v>666</v>
      </c>
      <c r="G207" s="364" t="s">
        <v>1095</v>
      </c>
      <c r="H207" s="364" t="s">
        <v>316</v>
      </c>
      <c r="I207" s="364">
        <v>35</v>
      </c>
      <c r="J207" s="364">
        <v>83101</v>
      </c>
      <c r="K207" s="364">
        <v>1</v>
      </c>
      <c r="L207" s="364">
        <v>7</v>
      </c>
      <c r="M207" s="364">
        <v>4</v>
      </c>
      <c r="N207" s="364" t="s">
        <v>317</v>
      </c>
      <c r="O207" s="364">
        <v>0</v>
      </c>
      <c r="P207" s="364">
        <v>163</v>
      </c>
      <c r="Q207" s="364">
        <v>2</v>
      </c>
      <c r="R207" s="364"/>
      <c r="S207" s="364"/>
      <c r="T207" s="364"/>
      <c r="U207" s="364">
        <v>6508.99</v>
      </c>
      <c r="V207" s="364">
        <v>0</v>
      </c>
    </row>
    <row r="208" spans="2:22" x14ac:dyDescent="0.25">
      <c r="B208" s="364" t="s">
        <v>305</v>
      </c>
      <c r="C208" s="364" t="s">
        <v>315</v>
      </c>
      <c r="D208" s="364">
        <v>100</v>
      </c>
      <c r="E208" s="364" t="s">
        <v>408</v>
      </c>
      <c r="F208" s="364" t="s">
        <v>409</v>
      </c>
      <c r="G208" s="364" t="s">
        <v>1102</v>
      </c>
      <c r="H208" s="364" t="s">
        <v>756</v>
      </c>
      <c r="I208" s="364">
        <v>35</v>
      </c>
      <c r="J208" s="364">
        <v>83101</v>
      </c>
      <c r="K208" s="364">
        <v>1</v>
      </c>
      <c r="L208" s="364">
        <v>7</v>
      </c>
      <c r="M208" s="364">
        <v>4</v>
      </c>
      <c r="N208" s="364" t="s">
        <v>757</v>
      </c>
      <c r="O208" s="364">
        <v>0</v>
      </c>
      <c r="P208" s="364">
        <v>164</v>
      </c>
      <c r="Q208" s="364">
        <v>2</v>
      </c>
      <c r="R208" s="364"/>
      <c r="S208" s="364"/>
      <c r="T208" s="364"/>
      <c r="U208" s="364">
        <v>8119.97</v>
      </c>
      <c r="V208" s="364">
        <v>0</v>
      </c>
    </row>
    <row r="209" spans="2:22" x14ac:dyDescent="0.25">
      <c r="B209" s="364" t="s">
        <v>305</v>
      </c>
      <c r="C209" s="364" t="s">
        <v>315</v>
      </c>
      <c r="D209" s="364">
        <v>100</v>
      </c>
      <c r="E209" s="364" t="s">
        <v>1358</v>
      </c>
      <c r="F209" s="364" t="s">
        <v>677</v>
      </c>
      <c r="G209" s="364" t="s">
        <v>935</v>
      </c>
      <c r="H209" s="364" t="s">
        <v>316</v>
      </c>
      <c r="I209" s="364">
        <v>35</v>
      </c>
      <c r="J209" s="364">
        <v>83101</v>
      </c>
      <c r="K209" s="364">
        <v>1</v>
      </c>
      <c r="L209" s="364">
        <v>7</v>
      </c>
      <c r="M209" s="364">
        <v>4</v>
      </c>
      <c r="N209" s="364" t="s">
        <v>317</v>
      </c>
      <c r="O209" s="364">
        <v>0</v>
      </c>
      <c r="P209" s="364">
        <v>165</v>
      </c>
      <c r="Q209" s="364">
        <v>2</v>
      </c>
      <c r="R209" s="364"/>
      <c r="S209" s="364"/>
      <c r="T209" s="364"/>
      <c r="U209" s="364">
        <v>7493.59</v>
      </c>
      <c r="V209" s="364">
        <v>0</v>
      </c>
    </row>
    <row r="210" spans="2:22" x14ac:dyDescent="0.25">
      <c r="B210" s="364" t="s">
        <v>305</v>
      </c>
      <c r="C210" s="364" t="s">
        <v>315</v>
      </c>
      <c r="D210" s="364">
        <v>100</v>
      </c>
      <c r="E210" s="364" t="s">
        <v>436</v>
      </c>
      <c r="F210" s="364" t="s">
        <v>437</v>
      </c>
      <c r="G210" s="364" t="s">
        <v>1075</v>
      </c>
      <c r="H210" s="364" t="s">
        <v>756</v>
      </c>
      <c r="I210" s="364">
        <v>35</v>
      </c>
      <c r="J210" s="364">
        <v>83101</v>
      </c>
      <c r="K210" s="364">
        <v>1</v>
      </c>
      <c r="L210" s="364">
        <v>7</v>
      </c>
      <c r="M210" s="364">
        <v>4</v>
      </c>
      <c r="N210" s="364" t="s">
        <v>757</v>
      </c>
      <c r="O210" s="364">
        <v>0</v>
      </c>
      <c r="P210" s="364">
        <v>166</v>
      </c>
      <c r="Q210" s="364">
        <v>2</v>
      </c>
      <c r="R210" s="364"/>
      <c r="S210" s="364"/>
      <c r="T210" s="364"/>
      <c r="U210" s="364">
        <v>5614.98</v>
      </c>
      <c r="V210" s="364">
        <v>0</v>
      </c>
    </row>
    <row r="211" spans="2:22" x14ac:dyDescent="0.25">
      <c r="B211" s="364" t="s">
        <v>305</v>
      </c>
      <c r="C211" s="364" t="s">
        <v>315</v>
      </c>
      <c r="D211" s="364">
        <v>100</v>
      </c>
      <c r="E211" s="364" t="s">
        <v>1471</v>
      </c>
      <c r="F211" s="364" t="s">
        <v>1472</v>
      </c>
      <c r="G211" s="364" t="s">
        <v>1473</v>
      </c>
      <c r="H211" s="364" t="s">
        <v>1392</v>
      </c>
      <c r="I211" s="364">
        <v>35</v>
      </c>
      <c r="J211" s="364">
        <v>83101</v>
      </c>
      <c r="K211" s="364">
        <v>1</v>
      </c>
      <c r="L211" s="364">
        <v>7</v>
      </c>
      <c r="M211" s="364">
        <v>4</v>
      </c>
      <c r="N211" s="364" t="s">
        <v>1759</v>
      </c>
      <c r="O211" s="364">
        <v>0</v>
      </c>
      <c r="P211" s="364">
        <v>167</v>
      </c>
      <c r="Q211" s="364">
        <v>2</v>
      </c>
      <c r="R211" s="364"/>
      <c r="S211" s="364"/>
      <c r="T211" s="364"/>
      <c r="U211" s="364">
        <v>8564.85</v>
      </c>
      <c r="V211" s="364">
        <v>0</v>
      </c>
    </row>
    <row r="212" spans="2:22" x14ac:dyDescent="0.25">
      <c r="B212" s="364" t="s">
        <v>305</v>
      </c>
      <c r="C212" s="364" t="s">
        <v>315</v>
      </c>
      <c r="D212" s="364">
        <v>100</v>
      </c>
      <c r="E212" s="364" t="s">
        <v>1528</v>
      </c>
      <c r="F212" s="364" t="s">
        <v>1589</v>
      </c>
      <c r="G212" s="364" t="s">
        <v>1529</v>
      </c>
      <c r="H212" s="364" t="s">
        <v>1370</v>
      </c>
      <c r="I212" s="364">
        <v>35</v>
      </c>
      <c r="J212" s="364">
        <v>83101</v>
      </c>
      <c r="K212" s="364">
        <v>1</v>
      </c>
      <c r="L212" s="364">
        <v>7</v>
      </c>
      <c r="M212" s="364">
        <v>4</v>
      </c>
      <c r="N212" s="364" t="s">
        <v>318</v>
      </c>
      <c r="O212" s="364">
        <v>0</v>
      </c>
      <c r="P212" s="364">
        <v>168</v>
      </c>
      <c r="Q212" s="364">
        <v>2</v>
      </c>
      <c r="R212" s="364"/>
      <c r="S212" s="364"/>
      <c r="T212" s="364"/>
      <c r="U212" s="364">
        <v>11918.68</v>
      </c>
      <c r="V212" s="364">
        <v>0</v>
      </c>
    </row>
    <row r="213" spans="2:22" x14ac:dyDescent="0.25">
      <c r="B213" s="364" t="s">
        <v>305</v>
      </c>
      <c r="C213" s="364" t="s">
        <v>315</v>
      </c>
      <c r="D213" s="364">
        <v>100</v>
      </c>
      <c r="E213" s="364" t="s">
        <v>834</v>
      </c>
      <c r="F213" s="364" t="s">
        <v>835</v>
      </c>
      <c r="G213" s="364" t="s">
        <v>1124</v>
      </c>
      <c r="H213" s="364" t="s">
        <v>316</v>
      </c>
      <c r="I213" s="364">
        <v>35</v>
      </c>
      <c r="J213" s="364">
        <v>83101</v>
      </c>
      <c r="K213" s="364">
        <v>1</v>
      </c>
      <c r="L213" s="364">
        <v>7</v>
      </c>
      <c r="M213" s="364">
        <v>4</v>
      </c>
      <c r="N213" s="364" t="s">
        <v>317</v>
      </c>
      <c r="O213" s="364">
        <v>0</v>
      </c>
      <c r="P213" s="364">
        <v>169</v>
      </c>
      <c r="Q213" s="364">
        <v>2</v>
      </c>
      <c r="R213" s="364"/>
      <c r="S213" s="364"/>
      <c r="T213" s="364"/>
      <c r="U213" s="364">
        <v>6089.62</v>
      </c>
      <c r="V213" s="364">
        <v>0</v>
      </c>
    </row>
    <row r="214" spans="2:22" x14ac:dyDescent="0.25">
      <c r="B214" s="364" t="s">
        <v>305</v>
      </c>
      <c r="C214" s="364" t="s">
        <v>315</v>
      </c>
      <c r="D214" s="364">
        <v>100</v>
      </c>
      <c r="E214" s="364" t="s">
        <v>412</v>
      </c>
      <c r="F214" s="364" t="s">
        <v>413</v>
      </c>
      <c r="G214" s="364" t="s">
        <v>1097</v>
      </c>
      <c r="H214" s="364" t="s">
        <v>756</v>
      </c>
      <c r="I214" s="364">
        <v>35</v>
      </c>
      <c r="J214" s="364">
        <v>83101</v>
      </c>
      <c r="K214" s="364">
        <v>1</v>
      </c>
      <c r="L214" s="364">
        <v>7</v>
      </c>
      <c r="M214" s="364">
        <v>4</v>
      </c>
      <c r="N214" s="364" t="s">
        <v>757</v>
      </c>
      <c r="O214" s="364">
        <v>0</v>
      </c>
      <c r="P214" s="364">
        <v>17</v>
      </c>
      <c r="Q214" s="364">
        <v>2</v>
      </c>
      <c r="R214" s="364"/>
      <c r="S214" s="364"/>
      <c r="T214" s="364"/>
      <c r="U214" s="364">
        <v>5240.54</v>
      </c>
      <c r="V214" s="364">
        <v>0</v>
      </c>
    </row>
    <row r="215" spans="2:22" x14ac:dyDescent="0.25">
      <c r="B215" s="364" t="s">
        <v>305</v>
      </c>
      <c r="C215" s="364" t="s">
        <v>315</v>
      </c>
      <c r="D215" s="364">
        <v>100</v>
      </c>
      <c r="E215" s="364" t="s">
        <v>448</v>
      </c>
      <c r="F215" s="364" t="s">
        <v>449</v>
      </c>
      <c r="G215" s="364" t="s">
        <v>999</v>
      </c>
      <c r="H215" s="364" t="s">
        <v>760</v>
      </c>
      <c r="I215" s="364">
        <v>35</v>
      </c>
      <c r="J215" s="364">
        <v>83101</v>
      </c>
      <c r="K215" s="364">
        <v>1</v>
      </c>
      <c r="L215" s="364">
        <v>7</v>
      </c>
      <c r="M215" s="364">
        <v>4</v>
      </c>
      <c r="N215" s="364" t="s">
        <v>761</v>
      </c>
      <c r="O215" s="364">
        <v>0</v>
      </c>
      <c r="P215" s="364">
        <v>170</v>
      </c>
      <c r="Q215" s="364">
        <v>2</v>
      </c>
      <c r="R215" s="364"/>
      <c r="S215" s="364"/>
      <c r="T215" s="364"/>
      <c r="U215" s="364">
        <v>6714.51</v>
      </c>
      <c r="V215" s="364">
        <v>0</v>
      </c>
    </row>
    <row r="216" spans="2:22" x14ac:dyDescent="0.25">
      <c r="B216" s="364" t="s">
        <v>305</v>
      </c>
      <c r="C216" s="364" t="s">
        <v>315</v>
      </c>
      <c r="D216" s="364">
        <v>100</v>
      </c>
      <c r="E216" s="364" t="s">
        <v>452</v>
      </c>
      <c r="F216" s="364" t="s">
        <v>453</v>
      </c>
      <c r="G216" s="364" t="s">
        <v>956</v>
      </c>
      <c r="H216" s="364" t="s">
        <v>760</v>
      </c>
      <c r="I216" s="364">
        <v>35</v>
      </c>
      <c r="J216" s="364">
        <v>83101</v>
      </c>
      <c r="K216" s="364">
        <v>1</v>
      </c>
      <c r="L216" s="364">
        <v>7</v>
      </c>
      <c r="M216" s="364">
        <v>4</v>
      </c>
      <c r="N216" s="364" t="s">
        <v>761</v>
      </c>
      <c r="O216" s="364">
        <v>0</v>
      </c>
      <c r="P216" s="364">
        <v>171</v>
      </c>
      <c r="Q216" s="364">
        <v>2</v>
      </c>
      <c r="R216" s="364"/>
      <c r="S216" s="364"/>
      <c r="T216" s="364"/>
      <c r="U216" s="364">
        <v>26486.45</v>
      </c>
      <c r="V216" s="364">
        <v>0</v>
      </c>
    </row>
    <row r="217" spans="2:22" x14ac:dyDescent="0.25">
      <c r="B217" s="364" t="s">
        <v>305</v>
      </c>
      <c r="C217" s="364" t="s">
        <v>315</v>
      </c>
      <c r="D217" s="364">
        <v>100</v>
      </c>
      <c r="E217" s="364" t="s">
        <v>472</v>
      </c>
      <c r="F217" s="364" t="s">
        <v>473</v>
      </c>
      <c r="G217" s="364" t="s">
        <v>1372</v>
      </c>
      <c r="H217" s="364" t="s">
        <v>758</v>
      </c>
      <c r="I217" s="364">
        <v>35</v>
      </c>
      <c r="J217" s="364">
        <v>83101</v>
      </c>
      <c r="K217" s="364">
        <v>1</v>
      </c>
      <c r="L217" s="364">
        <v>7</v>
      </c>
      <c r="M217" s="364">
        <v>4</v>
      </c>
      <c r="N217" s="364" t="s">
        <v>759</v>
      </c>
      <c r="O217" s="364">
        <v>0</v>
      </c>
      <c r="P217" s="364">
        <v>172</v>
      </c>
      <c r="Q217" s="364">
        <v>2</v>
      </c>
      <c r="R217" s="364"/>
      <c r="S217" s="364"/>
      <c r="T217" s="364"/>
      <c r="U217" s="364">
        <v>7301.55</v>
      </c>
      <c r="V217" s="364">
        <v>0</v>
      </c>
    </row>
    <row r="218" spans="2:22" x14ac:dyDescent="0.25">
      <c r="B218" s="364" t="s">
        <v>305</v>
      </c>
      <c r="C218" s="364" t="s">
        <v>315</v>
      </c>
      <c r="D218" s="364">
        <v>100</v>
      </c>
      <c r="E218" s="364" t="s">
        <v>688</v>
      </c>
      <c r="F218" s="364" t="s">
        <v>689</v>
      </c>
      <c r="G218" s="364" t="s">
        <v>936</v>
      </c>
      <c r="H218" s="364" t="s">
        <v>316</v>
      </c>
      <c r="I218" s="364">
        <v>35</v>
      </c>
      <c r="J218" s="364">
        <v>83101</v>
      </c>
      <c r="K218" s="364">
        <v>1</v>
      </c>
      <c r="L218" s="364">
        <v>7</v>
      </c>
      <c r="M218" s="364">
        <v>4</v>
      </c>
      <c r="N218" s="364" t="s">
        <v>317</v>
      </c>
      <c r="O218" s="364">
        <v>0</v>
      </c>
      <c r="P218" s="364">
        <v>173</v>
      </c>
      <c r="Q218" s="364">
        <v>2</v>
      </c>
      <c r="R218" s="364"/>
      <c r="S218" s="364"/>
      <c r="T218" s="364"/>
      <c r="U218" s="364">
        <v>7457.13</v>
      </c>
      <c r="V218" s="364">
        <v>0</v>
      </c>
    </row>
    <row r="219" spans="2:22" x14ac:dyDescent="0.25">
      <c r="B219" s="364" t="s">
        <v>305</v>
      </c>
      <c r="C219" s="364" t="s">
        <v>315</v>
      </c>
      <c r="D219" s="364">
        <v>100</v>
      </c>
      <c r="E219" s="364" t="s">
        <v>400</v>
      </c>
      <c r="F219" s="364" t="s">
        <v>401</v>
      </c>
      <c r="G219" s="364" t="s">
        <v>1101</v>
      </c>
      <c r="H219" s="364" t="s">
        <v>796</v>
      </c>
      <c r="I219" s="364">
        <v>35</v>
      </c>
      <c r="J219" s="364">
        <v>83101</v>
      </c>
      <c r="K219" s="364">
        <v>1</v>
      </c>
      <c r="L219" s="364">
        <v>7</v>
      </c>
      <c r="M219" s="364">
        <v>4</v>
      </c>
      <c r="N219" s="364" t="s">
        <v>765</v>
      </c>
      <c r="O219" s="364">
        <v>0</v>
      </c>
      <c r="P219" s="364">
        <v>174</v>
      </c>
      <c r="Q219" s="364">
        <v>2</v>
      </c>
      <c r="R219" s="364"/>
      <c r="S219" s="364"/>
      <c r="T219" s="364"/>
      <c r="U219" s="364">
        <v>7270.11</v>
      </c>
      <c r="V219" s="364">
        <v>0</v>
      </c>
    </row>
    <row r="220" spans="2:22" x14ac:dyDescent="0.25">
      <c r="B220" s="364" t="s">
        <v>305</v>
      </c>
      <c r="C220" s="364" t="s">
        <v>315</v>
      </c>
      <c r="D220" s="364">
        <v>100</v>
      </c>
      <c r="E220" s="364" t="s">
        <v>541</v>
      </c>
      <c r="F220" s="364" t="s">
        <v>542</v>
      </c>
      <c r="G220" s="364" t="s">
        <v>1023</v>
      </c>
      <c r="H220" s="364" t="s">
        <v>316</v>
      </c>
      <c r="I220" s="364">
        <v>35</v>
      </c>
      <c r="J220" s="364">
        <v>83101</v>
      </c>
      <c r="K220" s="364">
        <v>1</v>
      </c>
      <c r="L220" s="364">
        <v>7</v>
      </c>
      <c r="M220" s="364">
        <v>4</v>
      </c>
      <c r="N220" s="364" t="s">
        <v>317</v>
      </c>
      <c r="O220" s="364">
        <v>0</v>
      </c>
      <c r="P220" s="364">
        <v>176</v>
      </c>
      <c r="Q220" s="364">
        <v>2</v>
      </c>
      <c r="R220" s="364"/>
      <c r="S220" s="364"/>
      <c r="T220" s="364"/>
      <c r="U220" s="364">
        <v>7523.58</v>
      </c>
      <c r="V220" s="364">
        <v>0</v>
      </c>
    </row>
    <row r="221" spans="2:22" x14ac:dyDescent="0.25">
      <c r="B221" s="364" t="s">
        <v>305</v>
      </c>
      <c r="C221" s="364" t="s">
        <v>315</v>
      </c>
      <c r="D221" s="364">
        <v>100</v>
      </c>
      <c r="E221" s="364" t="s">
        <v>1738</v>
      </c>
      <c r="F221" s="364" t="s">
        <v>1739</v>
      </c>
      <c r="G221" s="364" t="s">
        <v>1740</v>
      </c>
      <c r="H221" s="364" t="s">
        <v>316</v>
      </c>
      <c r="I221" s="364">
        <v>35</v>
      </c>
      <c r="J221" s="364">
        <v>83101</v>
      </c>
      <c r="K221" s="364">
        <v>1</v>
      </c>
      <c r="L221" s="364">
        <v>7</v>
      </c>
      <c r="M221" s="364">
        <v>4</v>
      </c>
      <c r="N221" s="364" t="s">
        <v>317</v>
      </c>
      <c r="O221" s="364">
        <v>0</v>
      </c>
      <c r="P221" s="364">
        <v>177</v>
      </c>
      <c r="Q221" s="364">
        <v>2</v>
      </c>
      <c r="R221" s="364"/>
      <c r="S221" s="364"/>
      <c r="T221" s="364"/>
      <c r="U221" s="364">
        <v>6089.62</v>
      </c>
      <c r="V221" s="364">
        <v>0</v>
      </c>
    </row>
    <row r="222" spans="2:22" x14ac:dyDescent="0.25">
      <c r="B222" s="364" t="s">
        <v>305</v>
      </c>
      <c r="C222" s="364" t="s">
        <v>315</v>
      </c>
      <c r="D222" s="364">
        <v>100</v>
      </c>
      <c r="E222" s="364" t="s">
        <v>696</v>
      </c>
      <c r="F222" s="364" t="s">
        <v>697</v>
      </c>
      <c r="G222" s="364" t="s">
        <v>921</v>
      </c>
      <c r="H222" s="364" t="s">
        <v>316</v>
      </c>
      <c r="I222" s="364">
        <v>35</v>
      </c>
      <c r="J222" s="364">
        <v>83101</v>
      </c>
      <c r="K222" s="364">
        <v>1</v>
      </c>
      <c r="L222" s="364">
        <v>7</v>
      </c>
      <c r="M222" s="364">
        <v>4</v>
      </c>
      <c r="N222" s="364" t="s">
        <v>317</v>
      </c>
      <c r="O222" s="364">
        <v>0</v>
      </c>
      <c r="P222" s="364">
        <v>178</v>
      </c>
      <c r="Q222" s="364">
        <v>2</v>
      </c>
      <c r="R222" s="364"/>
      <c r="S222" s="364"/>
      <c r="T222" s="364"/>
      <c r="U222" s="364">
        <v>8070.58</v>
      </c>
      <c r="V222" s="364">
        <v>0</v>
      </c>
    </row>
    <row r="223" spans="2:22" x14ac:dyDescent="0.25">
      <c r="B223" s="364" t="s">
        <v>305</v>
      </c>
      <c r="C223" s="364" t="s">
        <v>315</v>
      </c>
      <c r="D223" s="364">
        <v>100</v>
      </c>
      <c r="E223" s="364" t="s">
        <v>438</v>
      </c>
      <c r="F223" s="364" t="s">
        <v>439</v>
      </c>
      <c r="G223" s="364" t="s">
        <v>1070</v>
      </c>
      <c r="H223" s="364" t="s">
        <v>756</v>
      </c>
      <c r="I223" s="364">
        <v>35</v>
      </c>
      <c r="J223" s="364">
        <v>83101</v>
      </c>
      <c r="K223" s="364">
        <v>1</v>
      </c>
      <c r="L223" s="364">
        <v>7</v>
      </c>
      <c r="M223" s="364">
        <v>4</v>
      </c>
      <c r="N223" s="364" t="s">
        <v>757</v>
      </c>
      <c r="O223" s="364">
        <v>0</v>
      </c>
      <c r="P223" s="364">
        <v>18</v>
      </c>
      <c r="Q223" s="364">
        <v>2</v>
      </c>
      <c r="R223" s="364"/>
      <c r="S223" s="364"/>
      <c r="T223" s="364"/>
      <c r="U223" s="364">
        <v>5745.22</v>
      </c>
      <c r="V223" s="364">
        <v>0</v>
      </c>
    </row>
    <row r="224" spans="2:22" x14ac:dyDescent="0.25">
      <c r="B224" s="364" t="s">
        <v>305</v>
      </c>
      <c r="C224" s="364" t="s">
        <v>315</v>
      </c>
      <c r="D224" s="364">
        <v>100</v>
      </c>
      <c r="E224" s="364" t="s">
        <v>496</v>
      </c>
      <c r="F224" s="364" t="s">
        <v>497</v>
      </c>
      <c r="G224" s="364" t="s">
        <v>940</v>
      </c>
      <c r="H224" s="364" t="s">
        <v>316</v>
      </c>
      <c r="I224" s="364">
        <v>35</v>
      </c>
      <c r="J224" s="364">
        <v>83101</v>
      </c>
      <c r="K224" s="364">
        <v>1</v>
      </c>
      <c r="L224" s="364">
        <v>7</v>
      </c>
      <c r="M224" s="364">
        <v>4</v>
      </c>
      <c r="N224" s="364" t="s">
        <v>317</v>
      </c>
      <c r="O224" s="364">
        <v>0</v>
      </c>
      <c r="P224" s="364">
        <v>182</v>
      </c>
      <c r="Q224" s="364">
        <v>2</v>
      </c>
      <c r="R224" s="364"/>
      <c r="S224" s="364"/>
      <c r="T224" s="364"/>
      <c r="U224" s="364">
        <v>7888.25</v>
      </c>
      <c r="V224" s="364">
        <v>0</v>
      </c>
    </row>
    <row r="225" spans="2:22" x14ac:dyDescent="0.25">
      <c r="B225" s="364" t="s">
        <v>305</v>
      </c>
      <c r="C225" s="364" t="s">
        <v>315</v>
      </c>
      <c r="D225" s="364">
        <v>100</v>
      </c>
      <c r="E225" s="364" t="s">
        <v>690</v>
      </c>
      <c r="F225" s="364" t="s">
        <v>691</v>
      </c>
      <c r="G225" s="364" t="s">
        <v>1086</v>
      </c>
      <c r="H225" s="364" t="s">
        <v>316</v>
      </c>
      <c r="I225" s="364">
        <v>35</v>
      </c>
      <c r="J225" s="364">
        <v>83101</v>
      </c>
      <c r="K225" s="364">
        <v>1</v>
      </c>
      <c r="L225" s="364">
        <v>7</v>
      </c>
      <c r="M225" s="364">
        <v>4</v>
      </c>
      <c r="N225" s="364" t="s">
        <v>317</v>
      </c>
      <c r="O225" s="364">
        <v>0</v>
      </c>
      <c r="P225" s="364">
        <v>183</v>
      </c>
      <c r="Q225" s="364">
        <v>2</v>
      </c>
      <c r="R225" s="364"/>
      <c r="S225" s="364"/>
      <c r="T225" s="364"/>
      <c r="U225" s="364">
        <v>6089.62</v>
      </c>
      <c r="V225" s="364">
        <v>0</v>
      </c>
    </row>
    <row r="226" spans="2:22" x14ac:dyDescent="0.25">
      <c r="B226" s="364" t="s">
        <v>305</v>
      </c>
      <c r="C226" s="364" t="s">
        <v>315</v>
      </c>
      <c r="D226" s="364">
        <v>100</v>
      </c>
      <c r="E226" s="364" t="s">
        <v>504</v>
      </c>
      <c r="F226" s="364" t="s">
        <v>505</v>
      </c>
      <c r="G226" s="364" t="s">
        <v>1373</v>
      </c>
      <c r="H226" s="364" t="s">
        <v>316</v>
      </c>
      <c r="I226" s="364">
        <v>35</v>
      </c>
      <c r="J226" s="364">
        <v>83101</v>
      </c>
      <c r="K226" s="364">
        <v>1</v>
      </c>
      <c r="L226" s="364">
        <v>7</v>
      </c>
      <c r="M226" s="364">
        <v>4</v>
      </c>
      <c r="N226" s="364" t="s">
        <v>317</v>
      </c>
      <c r="O226" s="364">
        <v>0</v>
      </c>
      <c r="P226" s="364">
        <v>184</v>
      </c>
      <c r="Q226" s="364">
        <v>2</v>
      </c>
      <c r="R226" s="364"/>
      <c r="S226" s="364"/>
      <c r="T226" s="364"/>
      <c r="U226" s="364">
        <v>7924.72</v>
      </c>
      <c r="V226" s="364">
        <v>0</v>
      </c>
    </row>
    <row r="227" spans="2:22" x14ac:dyDescent="0.25">
      <c r="B227" s="364" t="s">
        <v>305</v>
      </c>
      <c r="C227" s="364" t="s">
        <v>315</v>
      </c>
      <c r="D227" s="364">
        <v>100</v>
      </c>
      <c r="E227" s="364" t="s">
        <v>1704</v>
      </c>
      <c r="F227" s="364" t="s">
        <v>1705</v>
      </c>
      <c r="G227" s="364" t="s">
        <v>1706</v>
      </c>
      <c r="H227" s="364" t="s">
        <v>316</v>
      </c>
      <c r="I227" s="364">
        <v>35</v>
      </c>
      <c r="J227" s="364">
        <v>83101</v>
      </c>
      <c r="K227" s="364">
        <v>1</v>
      </c>
      <c r="L227" s="364">
        <v>7</v>
      </c>
      <c r="M227" s="364">
        <v>4</v>
      </c>
      <c r="N227" s="364" t="s">
        <v>317</v>
      </c>
      <c r="O227" s="364">
        <v>0</v>
      </c>
      <c r="P227" s="364">
        <v>185</v>
      </c>
      <c r="Q227" s="364">
        <v>2</v>
      </c>
      <c r="R227" s="364"/>
      <c r="S227" s="364"/>
      <c r="T227" s="364"/>
      <c r="U227" s="364">
        <v>6089.62</v>
      </c>
      <c r="V227" s="364">
        <v>0</v>
      </c>
    </row>
    <row r="228" spans="2:22" x14ac:dyDescent="0.25">
      <c r="B228" s="364" t="s">
        <v>305</v>
      </c>
      <c r="C228" s="364" t="s">
        <v>315</v>
      </c>
      <c r="D228" s="364">
        <v>100</v>
      </c>
      <c r="E228" s="364" t="s">
        <v>506</v>
      </c>
      <c r="F228" s="364" t="s">
        <v>507</v>
      </c>
      <c r="G228" s="364" t="s">
        <v>945</v>
      </c>
      <c r="H228" s="364" t="s">
        <v>316</v>
      </c>
      <c r="I228" s="364">
        <v>35</v>
      </c>
      <c r="J228" s="364">
        <v>83101</v>
      </c>
      <c r="K228" s="364">
        <v>1</v>
      </c>
      <c r="L228" s="364">
        <v>7</v>
      </c>
      <c r="M228" s="364">
        <v>4</v>
      </c>
      <c r="N228" s="364" t="s">
        <v>317</v>
      </c>
      <c r="O228" s="364">
        <v>0</v>
      </c>
      <c r="P228" s="364">
        <v>186</v>
      </c>
      <c r="Q228" s="364">
        <v>2</v>
      </c>
      <c r="R228" s="364"/>
      <c r="S228" s="364"/>
      <c r="T228" s="364"/>
      <c r="U228" s="364">
        <v>7924.72</v>
      </c>
      <c r="V228" s="364">
        <v>0</v>
      </c>
    </row>
    <row r="229" spans="2:22" x14ac:dyDescent="0.25">
      <c r="B229" s="364" t="s">
        <v>305</v>
      </c>
      <c r="C229" s="364" t="s">
        <v>315</v>
      </c>
      <c r="D229" s="364">
        <v>100</v>
      </c>
      <c r="E229" s="364" t="s">
        <v>700</v>
      </c>
      <c r="F229" s="364" t="s">
        <v>701</v>
      </c>
      <c r="G229" s="364" t="s">
        <v>981</v>
      </c>
      <c r="H229" s="364" t="s">
        <v>316</v>
      </c>
      <c r="I229" s="364">
        <v>35</v>
      </c>
      <c r="J229" s="364">
        <v>83101</v>
      </c>
      <c r="K229" s="364">
        <v>1</v>
      </c>
      <c r="L229" s="364">
        <v>7</v>
      </c>
      <c r="M229" s="364">
        <v>4</v>
      </c>
      <c r="N229" s="364" t="s">
        <v>317</v>
      </c>
      <c r="O229" s="364">
        <v>0</v>
      </c>
      <c r="P229" s="364">
        <v>101</v>
      </c>
      <c r="Q229" s="364">
        <v>2</v>
      </c>
      <c r="R229" s="364"/>
      <c r="S229" s="364"/>
      <c r="T229" s="364"/>
      <c r="U229" s="364">
        <v>7669.45</v>
      </c>
      <c r="V229" s="364">
        <v>0</v>
      </c>
    </row>
    <row r="230" spans="2:22" x14ac:dyDescent="0.25">
      <c r="B230" s="364" t="s">
        <v>305</v>
      </c>
      <c r="C230" s="364" t="s">
        <v>315</v>
      </c>
      <c r="D230" s="364">
        <v>100</v>
      </c>
      <c r="E230" s="364" t="s">
        <v>1127</v>
      </c>
      <c r="F230" s="364" t="s">
        <v>815</v>
      </c>
      <c r="G230" s="364" t="s">
        <v>1128</v>
      </c>
      <c r="H230" s="364" t="s">
        <v>796</v>
      </c>
      <c r="I230" s="364">
        <v>35</v>
      </c>
      <c r="J230" s="364">
        <v>83101</v>
      </c>
      <c r="K230" s="364">
        <v>1</v>
      </c>
      <c r="L230" s="364">
        <v>7</v>
      </c>
      <c r="M230" s="364">
        <v>2</v>
      </c>
      <c r="N230" s="364" t="s">
        <v>765</v>
      </c>
      <c r="O230" s="364">
        <v>0</v>
      </c>
      <c r="P230" s="364">
        <v>102</v>
      </c>
      <c r="Q230" s="364">
        <v>2</v>
      </c>
      <c r="R230" s="364"/>
      <c r="S230" s="364"/>
      <c r="T230" s="364"/>
      <c r="U230" s="364">
        <v>5240.54</v>
      </c>
      <c r="V230" s="364">
        <v>0</v>
      </c>
    </row>
    <row r="231" spans="2:22" x14ac:dyDescent="0.25">
      <c r="B231" s="364" t="s">
        <v>305</v>
      </c>
      <c r="C231" s="364" t="s">
        <v>315</v>
      </c>
      <c r="D231" s="364">
        <v>100</v>
      </c>
      <c r="E231" s="364" t="s">
        <v>350</v>
      </c>
      <c r="F231" s="364" t="s">
        <v>351</v>
      </c>
      <c r="G231" s="364" t="s">
        <v>916</v>
      </c>
      <c r="H231" s="364" t="s">
        <v>763</v>
      </c>
      <c r="I231" s="364">
        <v>35</v>
      </c>
      <c r="J231" s="364">
        <v>83101</v>
      </c>
      <c r="K231" s="364">
        <v>1</v>
      </c>
      <c r="L231" s="364">
        <v>7</v>
      </c>
      <c r="M231" s="364">
        <v>4</v>
      </c>
      <c r="N231" s="364" t="s">
        <v>764</v>
      </c>
      <c r="O231" s="364">
        <v>0</v>
      </c>
      <c r="P231" s="364">
        <v>103</v>
      </c>
      <c r="Q231" s="364">
        <v>2</v>
      </c>
      <c r="R231" s="364"/>
      <c r="S231" s="364"/>
      <c r="T231" s="364"/>
      <c r="U231" s="364">
        <v>6591.77</v>
      </c>
      <c r="V231" s="364">
        <v>0</v>
      </c>
    </row>
    <row r="232" spans="2:22" x14ac:dyDescent="0.25">
      <c r="B232" s="364" t="s">
        <v>305</v>
      </c>
      <c r="C232" s="364" t="s">
        <v>315</v>
      </c>
      <c r="D232" s="364">
        <v>100</v>
      </c>
      <c r="E232" s="364" t="s">
        <v>1122</v>
      </c>
      <c r="F232" s="364" t="s">
        <v>812</v>
      </c>
      <c r="G232" s="364" t="s">
        <v>1123</v>
      </c>
      <c r="H232" s="364" t="s">
        <v>763</v>
      </c>
      <c r="I232" s="364">
        <v>35</v>
      </c>
      <c r="J232" s="364">
        <v>83101</v>
      </c>
      <c r="K232" s="364">
        <v>1</v>
      </c>
      <c r="L232" s="364">
        <v>7</v>
      </c>
      <c r="M232" s="364">
        <v>4</v>
      </c>
      <c r="N232" s="364" t="s">
        <v>764</v>
      </c>
      <c r="O232" s="364">
        <v>0</v>
      </c>
      <c r="P232" s="364">
        <v>104</v>
      </c>
      <c r="Q232" s="364">
        <v>2</v>
      </c>
      <c r="R232" s="364"/>
      <c r="S232" s="364"/>
      <c r="T232" s="364"/>
      <c r="U232" s="364">
        <v>5240.54</v>
      </c>
      <c r="V232" s="364">
        <v>0</v>
      </c>
    </row>
    <row r="233" spans="2:22" x14ac:dyDescent="0.25">
      <c r="B233" s="364" t="s">
        <v>305</v>
      </c>
      <c r="C233" s="364" t="s">
        <v>315</v>
      </c>
      <c r="D233" s="364">
        <v>100</v>
      </c>
      <c r="E233" s="364" t="s">
        <v>356</v>
      </c>
      <c r="F233" s="364" t="s">
        <v>357</v>
      </c>
      <c r="G233" s="364" t="s">
        <v>1118</v>
      </c>
      <c r="H233" s="364" t="s">
        <v>763</v>
      </c>
      <c r="I233" s="364">
        <v>35</v>
      </c>
      <c r="J233" s="364">
        <v>83101</v>
      </c>
      <c r="K233" s="364">
        <v>1</v>
      </c>
      <c r="L233" s="364">
        <v>7</v>
      </c>
      <c r="M233" s="364">
        <v>4</v>
      </c>
      <c r="N233" s="364" t="s">
        <v>764</v>
      </c>
      <c r="O233" s="364">
        <v>0</v>
      </c>
      <c r="P233" s="364">
        <v>105</v>
      </c>
      <c r="Q233" s="364">
        <v>2</v>
      </c>
      <c r="R233" s="364"/>
      <c r="S233" s="364"/>
      <c r="T233" s="364"/>
      <c r="U233" s="364">
        <v>5614.98</v>
      </c>
      <c r="V233" s="364">
        <v>0</v>
      </c>
    </row>
    <row r="234" spans="2:22" x14ac:dyDescent="0.25">
      <c r="B234" s="364" t="s">
        <v>305</v>
      </c>
      <c r="C234" s="364" t="s">
        <v>315</v>
      </c>
      <c r="D234" s="364">
        <v>100</v>
      </c>
      <c r="E234" s="364" t="s">
        <v>1750</v>
      </c>
      <c r="F234" s="364" t="s">
        <v>1751</v>
      </c>
      <c r="G234" s="364" t="s">
        <v>1752</v>
      </c>
      <c r="H234" s="364" t="s">
        <v>316</v>
      </c>
      <c r="I234" s="364">
        <v>35</v>
      </c>
      <c r="J234" s="364">
        <v>83101</v>
      </c>
      <c r="K234" s="364">
        <v>1</v>
      </c>
      <c r="L234" s="364">
        <v>7</v>
      </c>
      <c r="M234" s="364">
        <v>4</v>
      </c>
      <c r="N234" s="364" t="s">
        <v>317</v>
      </c>
      <c r="O234" s="364">
        <v>0</v>
      </c>
      <c r="P234" s="364">
        <v>106</v>
      </c>
      <c r="Q234" s="364">
        <v>2</v>
      </c>
      <c r="R234" s="364"/>
      <c r="S234" s="364"/>
      <c r="T234" s="364"/>
      <c r="U234" s="364">
        <v>6089.62</v>
      </c>
      <c r="V234" s="364">
        <v>0</v>
      </c>
    </row>
    <row r="235" spans="2:22" x14ac:dyDescent="0.25">
      <c r="B235" s="364" t="s">
        <v>305</v>
      </c>
      <c r="C235" s="364" t="s">
        <v>315</v>
      </c>
      <c r="D235" s="364">
        <v>100</v>
      </c>
      <c r="E235" s="364" t="s">
        <v>474</v>
      </c>
      <c r="F235" s="364" t="s">
        <v>475</v>
      </c>
      <c r="G235" s="364" t="s">
        <v>930</v>
      </c>
      <c r="H235" s="364" t="s">
        <v>758</v>
      </c>
      <c r="I235" s="364">
        <v>35</v>
      </c>
      <c r="J235" s="364">
        <v>83101</v>
      </c>
      <c r="K235" s="364">
        <v>1</v>
      </c>
      <c r="L235" s="364">
        <v>7</v>
      </c>
      <c r="M235" s="364">
        <v>4</v>
      </c>
      <c r="N235" s="364" t="s">
        <v>759</v>
      </c>
      <c r="O235" s="364">
        <v>0</v>
      </c>
      <c r="P235" s="364">
        <v>107</v>
      </c>
      <c r="Q235" s="364">
        <v>2</v>
      </c>
      <c r="R235" s="364"/>
      <c r="S235" s="364"/>
      <c r="T235" s="364"/>
      <c r="U235" s="364">
        <v>7372.05</v>
      </c>
      <c r="V235" s="364">
        <v>0</v>
      </c>
    </row>
    <row r="236" spans="2:22" x14ac:dyDescent="0.25">
      <c r="B236" s="364" t="s">
        <v>305</v>
      </c>
      <c r="C236" s="364" t="s">
        <v>315</v>
      </c>
      <c r="D236" s="364">
        <v>100</v>
      </c>
      <c r="E236" s="364" t="s">
        <v>308</v>
      </c>
      <c r="F236" s="364" t="s">
        <v>309</v>
      </c>
      <c r="G236" s="364" t="s">
        <v>924</v>
      </c>
      <c r="H236" s="364" t="s">
        <v>316</v>
      </c>
      <c r="I236" s="364">
        <v>35</v>
      </c>
      <c r="J236" s="364">
        <v>83101</v>
      </c>
      <c r="K236" s="364">
        <v>1</v>
      </c>
      <c r="L236" s="364">
        <v>7</v>
      </c>
      <c r="M236" s="364">
        <v>4</v>
      </c>
      <c r="N236" s="364" t="s">
        <v>317</v>
      </c>
      <c r="O236" s="364">
        <v>0</v>
      </c>
      <c r="P236" s="364">
        <v>108</v>
      </c>
      <c r="Q236" s="364">
        <v>2</v>
      </c>
      <c r="R236" s="364"/>
      <c r="S236" s="364"/>
      <c r="T236" s="364"/>
      <c r="U236" s="364">
        <v>8070.58</v>
      </c>
      <c r="V236" s="364">
        <v>0</v>
      </c>
    </row>
    <row r="237" spans="2:22" x14ac:dyDescent="0.25">
      <c r="B237" s="364" t="s">
        <v>305</v>
      </c>
      <c r="C237" s="364" t="s">
        <v>315</v>
      </c>
      <c r="D237" s="364">
        <v>100</v>
      </c>
      <c r="E237" s="364" t="s">
        <v>748</v>
      </c>
      <c r="F237" s="364" t="s">
        <v>749</v>
      </c>
      <c r="G237" s="364" t="s">
        <v>1385</v>
      </c>
      <c r="H237" s="364" t="s">
        <v>766</v>
      </c>
      <c r="I237" s="364">
        <v>35</v>
      </c>
      <c r="J237" s="364">
        <v>83101</v>
      </c>
      <c r="K237" s="364">
        <v>1</v>
      </c>
      <c r="L237" s="364">
        <v>7</v>
      </c>
      <c r="M237" s="364">
        <v>2</v>
      </c>
      <c r="N237" s="364" t="s">
        <v>767</v>
      </c>
      <c r="O237" s="364">
        <v>0</v>
      </c>
      <c r="P237" s="364">
        <v>109</v>
      </c>
      <c r="Q237" s="364">
        <v>2</v>
      </c>
      <c r="R237" s="364"/>
      <c r="S237" s="364"/>
      <c r="T237" s="364"/>
      <c r="U237" s="364">
        <v>13019.87</v>
      </c>
      <c r="V237" s="364">
        <v>0</v>
      </c>
    </row>
    <row r="238" spans="2:22" x14ac:dyDescent="0.25">
      <c r="B238" s="364" t="s">
        <v>305</v>
      </c>
      <c r="C238" s="364" t="s">
        <v>315</v>
      </c>
      <c r="D238" s="364">
        <v>100</v>
      </c>
      <c r="E238" s="364" t="s">
        <v>464</v>
      </c>
      <c r="F238" s="364" t="s">
        <v>465</v>
      </c>
      <c r="G238" s="364" t="s">
        <v>944</v>
      </c>
      <c r="H238" s="364" t="s">
        <v>758</v>
      </c>
      <c r="I238" s="364">
        <v>35</v>
      </c>
      <c r="J238" s="364">
        <v>83101</v>
      </c>
      <c r="K238" s="364">
        <v>1</v>
      </c>
      <c r="L238" s="364">
        <v>7</v>
      </c>
      <c r="M238" s="364">
        <v>4</v>
      </c>
      <c r="N238" s="364" t="s">
        <v>759</v>
      </c>
      <c r="O238" s="364">
        <v>0</v>
      </c>
      <c r="P238" s="364">
        <v>111</v>
      </c>
      <c r="Q238" s="364">
        <v>2</v>
      </c>
      <c r="R238" s="364"/>
      <c r="S238" s="364"/>
      <c r="T238" s="364"/>
      <c r="U238" s="364">
        <v>7301.55</v>
      </c>
      <c r="V238" s="364">
        <v>0</v>
      </c>
    </row>
    <row r="239" spans="2:22" x14ac:dyDescent="0.25">
      <c r="B239" s="364" t="s">
        <v>305</v>
      </c>
      <c r="C239" s="364" t="s">
        <v>315</v>
      </c>
      <c r="D239" s="364">
        <v>100</v>
      </c>
      <c r="E239" s="364" t="s">
        <v>444</v>
      </c>
      <c r="F239" s="364" t="s">
        <v>445</v>
      </c>
      <c r="G239" s="364" t="s">
        <v>969</v>
      </c>
      <c r="H239" s="364" t="s">
        <v>758</v>
      </c>
      <c r="I239" s="364">
        <v>35</v>
      </c>
      <c r="J239" s="364">
        <v>83101</v>
      </c>
      <c r="K239" s="364">
        <v>1</v>
      </c>
      <c r="L239" s="364">
        <v>7</v>
      </c>
      <c r="M239" s="364">
        <v>4</v>
      </c>
      <c r="N239" s="364" t="s">
        <v>759</v>
      </c>
      <c r="O239" s="364">
        <v>0</v>
      </c>
      <c r="P239" s="364">
        <v>112</v>
      </c>
      <c r="Q239" s="364">
        <v>2</v>
      </c>
      <c r="R239" s="364"/>
      <c r="S239" s="364"/>
      <c r="T239" s="364"/>
      <c r="U239" s="364">
        <v>6673.29</v>
      </c>
      <c r="V239" s="364">
        <v>0</v>
      </c>
    </row>
    <row r="240" spans="2:22" x14ac:dyDescent="0.25">
      <c r="B240" s="364" t="s">
        <v>305</v>
      </c>
      <c r="C240" s="364" t="s">
        <v>315</v>
      </c>
      <c r="D240" s="364">
        <v>100</v>
      </c>
      <c r="E240" s="364" t="s">
        <v>590</v>
      </c>
      <c r="F240" s="364" t="s">
        <v>591</v>
      </c>
      <c r="G240" s="364" t="s">
        <v>1091</v>
      </c>
      <c r="H240" s="364" t="s">
        <v>316</v>
      </c>
      <c r="I240" s="364">
        <v>35</v>
      </c>
      <c r="J240" s="364">
        <v>83101</v>
      </c>
      <c r="K240" s="364">
        <v>1</v>
      </c>
      <c r="L240" s="364">
        <v>7</v>
      </c>
      <c r="M240" s="364">
        <v>4</v>
      </c>
      <c r="N240" s="364" t="s">
        <v>317</v>
      </c>
      <c r="O240" s="364">
        <v>0</v>
      </c>
      <c r="P240" s="364">
        <v>113</v>
      </c>
      <c r="Q240" s="364">
        <v>2</v>
      </c>
      <c r="R240" s="364"/>
      <c r="S240" s="364"/>
      <c r="T240" s="364"/>
      <c r="U240" s="364">
        <v>6089.62</v>
      </c>
      <c r="V240" s="364">
        <v>0</v>
      </c>
    </row>
    <row r="241" spans="2:22" x14ac:dyDescent="0.25">
      <c r="B241" s="364" t="s">
        <v>305</v>
      </c>
      <c r="C241" s="364" t="s">
        <v>315</v>
      </c>
      <c r="D241" s="364">
        <v>100</v>
      </c>
      <c r="E241" s="364" t="s">
        <v>1477</v>
      </c>
      <c r="F241" s="364" t="s">
        <v>1478</v>
      </c>
      <c r="G241" s="364" t="s">
        <v>1603</v>
      </c>
      <c r="H241" s="364" t="s">
        <v>316</v>
      </c>
      <c r="I241" s="364">
        <v>35</v>
      </c>
      <c r="J241" s="364">
        <v>83101</v>
      </c>
      <c r="K241" s="364">
        <v>1</v>
      </c>
      <c r="L241" s="364">
        <v>7</v>
      </c>
      <c r="M241" s="364">
        <v>4</v>
      </c>
      <c r="N241" s="364" t="s">
        <v>317</v>
      </c>
      <c r="O241" s="364">
        <v>0</v>
      </c>
      <c r="P241" s="364">
        <v>114</v>
      </c>
      <c r="Q241" s="364">
        <v>2</v>
      </c>
      <c r="R241" s="364"/>
      <c r="S241" s="364"/>
      <c r="T241" s="364"/>
      <c r="U241" s="364">
        <v>6089.62</v>
      </c>
      <c r="V241" s="364">
        <v>0</v>
      </c>
    </row>
    <row r="242" spans="2:22" x14ac:dyDescent="0.25">
      <c r="B242" s="364" t="s">
        <v>305</v>
      </c>
      <c r="C242" s="364" t="s">
        <v>315</v>
      </c>
      <c r="D242" s="364">
        <v>100</v>
      </c>
      <c r="E242" s="364" t="s">
        <v>360</v>
      </c>
      <c r="F242" s="364" t="s">
        <v>361</v>
      </c>
      <c r="G242" s="364" t="s">
        <v>987</v>
      </c>
      <c r="H242" s="364" t="s">
        <v>763</v>
      </c>
      <c r="I242" s="364">
        <v>35</v>
      </c>
      <c r="J242" s="364">
        <v>83101</v>
      </c>
      <c r="K242" s="364">
        <v>1</v>
      </c>
      <c r="L242" s="364">
        <v>7</v>
      </c>
      <c r="M242" s="364">
        <v>4</v>
      </c>
      <c r="N242" s="364" t="s">
        <v>764</v>
      </c>
      <c r="O242" s="364">
        <v>0</v>
      </c>
      <c r="P242" s="364">
        <v>115</v>
      </c>
      <c r="Q242" s="364">
        <v>2</v>
      </c>
      <c r="R242" s="364"/>
      <c r="S242" s="364"/>
      <c r="T242" s="364"/>
      <c r="U242" s="364">
        <v>5826.62</v>
      </c>
      <c r="V242" s="364">
        <v>0</v>
      </c>
    </row>
    <row r="243" spans="2:22" x14ac:dyDescent="0.25">
      <c r="B243" s="364" t="s">
        <v>305</v>
      </c>
      <c r="C243" s="364" t="s">
        <v>315</v>
      </c>
      <c r="D243" s="364">
        <v>100</v>
      </c>
      <c r="E243" s="364" t="s">
        <v>1604</v>
      </c>
      <c r="F243" s="364" t="s">
        <v>1605</v>
      </c>
      <c r="G243" s="364" t="s">
        <v>1606</v>
      </c>
      <c r="H243" s="364" t="s">
        <v>316</v>
      </c>
      <c r="I243" s="364">
        <v>35</v>
      </c>
      <c r="J243" s="364">
        <v>83101</v>
      </c>
      <c r="K243" s="364">
        <v>1</v>
      </c>
      <c r="L243" s="364">
        <v>7</v>
      </c>
      <c r="M243" s="364">
        <v>4</v>
      </c>
      <c r="N243" s="364" t="s">
        <v>317</v>
      </c>
      <c r="O243" s="364">
        <v>0</v>
      </c>
      <c r="P243" s="364">
        <v>116</v>
      </c>
      <c r="Q243" s="364">
        <v>2</v>
      </c>
      <c r="R243" s="364"/>
      <c r="S243" s="364"/>
      <c r="T243" s="364"/>
      <c r="U243" s="364">
        <v>6089.62</v>
      </c>
      <c r="V243" s="364">
        <v>0</v>
      </c>
    </row>
    <row r="244" spans="2:22" x14ac:dyDescent="0.25">
      <c r="B244" s="364" t="s">
        <v>305</v>
      </c>
      <c r="C244" s="364" t="s">
        <v>315</v>
      </c>
      <c r="D244" s="364">
        <v>100</v>
      </c>
      <c r="E244" s="364" t="s">
        <v>1618</v>
      </c>
      <c r="F244" s="364" t="s">
        <v>1619</v>
      </c>
      <c r="G244" s="364" t="s">
        <v>1620</v>
      </c>
      <c r="H244" s="364" t="s">
        <v>316</v>
      </c>
      <c r="I244" s="364">
        <v>35</v>
      </c>
      <c r="J244" s="364">
        <v>83101</v>
      </c>
      <c r="K244" s="364">
        <v>1</v>
      </c>
      <c r="L244" s="364">
        <v>7</v>
      </c>
      <c r="M244" s="364">
        <v>4</v>
      </c>
      <c r="N244" s="364" t="s">
        <v>317</v>
      </c>
      <c r="O244" s="364">
        <v>0</v>
      </c>
      <c r="P244" s="364">
        <v>117</v>
      </c>
      <c r="Q244" s="364">
        <v>2</v>
      </c>
      <c r="R244" s="364"/>
      <c r="S244" s="364"/>
      <c r="T244" s="364"/>
      <c r="U244" s="364">
        <v>6089.62</v>
      </c>
      <c r="V244" s="364">
        <v>0</v>
      </c>
    </row>
    <row r="245" spans="2:22" x14ac:dyDescent="0.25">
      <c r="B245" s="364" t="s">
        <v>305</v>
      </c>
      <c r="C245" s="364" t="s">
        <v>315</v>
      </c>
      <c r="D245" s="364">
        <v>100</v>
      </c>
      <c r="E245" s="364" t="s">
        <v>692</v>
      </c>
      <c r="F245" s="364" t="s">
        <v>693</v>
      </c>
      <c r="G245" s="364" t="s">
        <v>928</v>
      </c>
      <c r="H245" s="364" t="s">
        <v>316</v>
      </c>
      <c r="I245" s="364">
        <v>35</v>
      </c>
      <c r="J245" s="364">
        <v>83101</v>
      </c>
      <c r="K245" s="364">
        <v>1</v>
      </c>
      <c r="L245" s="364">
        <v>7</v>
      </c>
      <c r="M245" s="364">
        <v>4</v>
      </c>
      <c r="N245" s="364" t="s">
        <v>317</v>
      </c>
      <c r="O245" s="364">
        <v>0</v>
      </c>
      <c r="P245" s="364">
        <v>118</v>
      </c>
      <c r="Q245" s="364">
        <v>2</v>
      </c>
      <c r="R245" s="364"/>
      <c r="S245" s="364"/>
      <c r="T245" s="364"/>
      <c r="U245" s="364">
        <v>8034.12</v>
      </c>
      <c r="V245" s="364">
        <v>0</v>
      </c>
    </row>
    <row r="246" spans="2:22" x14ac:dyDescent="0.25">
      <c r="B246" s="364" t="s">
        <v>305</v>
      </c>
      <c r="C246" s="364" t="s">
        <v>315</v>
      </c>
      <c r="D246" s="364">
        <v>100</v>
      </c>
      <c r="E246" s="364" t="s">
        <v>592</v>
      </c>
      <c r="F246" s="364" t="s">
        <v>593</v>
      </c>
      <c r="G246" s="364" t="s">
        <v>1066</v>
      </c>
      <c r="H246" s="364" t="s">
        <v>316</v>
      </c>
      <c r="I246" s="364">
        <v>35</v>
      </c>
      <c r="J246" s="364">
        <v>83101</v>
      </c>
      <c r="K246" s="364">
        <v>1</v>
      </c>
      <c r="L246" s="364">
        <v>7</v>
      </c>
      <c r="M246" s="364">
        <v>4</v>
      </c>
      <c r="N246" s="364" t="s">
        <v>317</v>
      </c>
      <c r="O246" s="364">
        <v>0</v>
      </c>
      <c r="P246" s="364">
        <v>119</v>
      </c>
      <c r="Q246" s="364">
        <v>2</v>
      </c>
      <c r="R246" s="364"/>
      <c r="S246" s="364"/>
      <c r="T246" s="364"/>
      <c r="U246" s="364">
        <v>7122.45</v>
      </c>
      <c r="V246" s="364">
        <v>0</v>
      </c>
    </row>
    <row r="247" spans="2:22" x14ac:dyDescent="0.25">
      <c r="B247" s="364" t="s">
        <v>305</v>
      </c>
      <c r="C247" s="364" t="s">
        <v>315</v>
      </c>
      <c r="D247" s="364">
        <v>100</v>
      </c>
      <c r="E247" s="364" t="s">
        <v>456</v>
      </c>
      <c r="F247" s="364" t="s">
        <v>457</v>
      </c>
      <c r="G247" s="364" t="s">
        <v>949</v>
      </c>
      <c r="H247" s="364" t="s">
        <v>760</v>
      </c>
      <c r="I247" s="364">
        <v>35</v>
      </c>
      <c r="J247" s="364">
        <v>83101</v>
      </c>
      <c r="K247" s="364">
        <v>1</v>
      </c>
      <c r="L247" s="364">
        <v>7</v>
      </c>
      <c r="M247" s="364">
        <v>4</v>
      </c>
      <c r="N247" s="364" t="s">
        <v>761</v>
      </c>
      <c r="O247" s="364">
        <v>0</v>
      </c>
      <c r="P247" s="364">
        <v>120</v>
      </c>
      <c r="Q247" s="364">
        <v>2</v>
      </c>
      <c r="R247" s="364"/>
      <c r="S247" s="364"/>
      <c r="T247" s="364"/>
      <c r="U247" s="364">
        <v>6981.94</v>
      </c>
      <c r="V247" s="364">
        <v>0</v>
      </c>
    </row>
    <row r="248" spans="2:22" x14ac:dyDescent="0.25">
      <c r="B248" s="364" t="s">
        <v>305</v>
      </c>
      <c r="C248" s="364" t="s">
        <v>315</v>
      </c>
      <c r="D248" s="364">
        <v>100</v>
      </c>
      <c r="E248" s="364" t="s">
        <v>1424</v>
      </c>
      <c r="F248" s="364" t="s">
        <v>1425</v>
      </c>
      <c r="G248" s="364" t="s">
        <v>1426</v>
      </c>
      <c r="H248" s="364" t="s">
        <v>763</v>
      </c>
      <c r="I248" s="364">
        <v>35</v>
      </c>
      <c r="J248" s="364">
        <v>83101</v>
      </c>
      <c r="K248" s="364">
        <v>1</v>
      </c>
      <c r="L248" s="364">
        <v>7</v>
      </c>
      <c r="M248" s="364">
        <v>4</v>
      </c>
      <c r="N248" s="364" t="s">
        <v>764</v>
      </c>
      <c r="O248" s="364">
        <v>0</v>
      </c>
      <c r="P248" s="364">
        <v>121</v>
      </c>
      <c r="Q248" s="364">
        <v>2</v>
      </c>
      <c r="R248" s="364"/>
      <c r="S248" s="364"/>
      <c r="T248" s="364"/>
      <c r="U248" s="364">
        <v>5240.54</v>
      </c>
      <c r="V248" s="364">
        <v>0</v>
      </c>
    </row>
    <row r="249" spans="2:22" x14ac:dyDescent="0.25">
      <c r="B249" s="364" t="s">
        <v>305</v>
      </c>
      <c r="C249" s="364" t="s">
        <v>315</v>
      </c>
      <c r="D249" s="364">
        <v>100</v>
      </c>
      <c r="E249" s="364" t="s">
        <v>1516</v>
      </c>
      <c r="F249" s="364" t="s">
        <v>1517</v>
      </c>
      <c r="G249" s="364" t="s">
        <v>1518</v>
      </c>
      <c r="H249" s="364" t="s">
        <v>316</v>
      </c>
      <c r="I249" s="364">
        <v>35</v>
      </c>
      <c r="J249" s="364">
        <v>83101</v>
      </c>
      <c r="K249" s="364">
        <v>1</v>
      </c>
      <c r="L249" s="364">
        <v>7</v>
      </c>
      <c r="M249" s="364">
        <v>4</v>
      </c>
      <c r="N249" s="364" t="s">
        <v>317</v>
      </c>
      <c r="O249" s="364">
        <v>0</v>
      </c>
      <c r="P249" s="364">
        <v>122</v>
      </c>
      <c r="Q249" s="364">
        <v>2</v>
      </c>
      <c r="R249" s="364"/>
      <c r="S249" s="364"/>
      <c r="T249" s="364"/>
      <c r="U249" s="364">
        <v>6089.62</v>
      </c>
      <c r="V249" s="364">
        <v>0</v>
      </c>
    </row>
    <row r="250" spans="2:22" x14ac:dyDescent="0.25">
      <c r="B250" s="364" t="s">
        <v>305</v>
      </c>
      <c r="C250" s="364" t="s">
        <v>315</v>
      </c>
      <c r="D250" s="364">
        <v>100</v>
      </c>
      <c r="E250" s="364" t="s">
        <v>736</v>
      </c>
      <c r="F250" s="364" t="s">
        <v>737</v>
      </c>
      <c r="G250" s="364" t="s">
        <v>1047</v>
      </c>
      <c r="H250" s="364" t="s">
        <v>1392</v>
      </c>
      <c r="I250" s="364">
        <v>35</v>
      </c>
      <c r="J250" s="364">
        <v>83101</v>
      </c>
      <c r="K250" s="364">
        <v>1</v>
      </c>
      <c r="L250" s="364">
        <v>7</v>
      </c>
      <c r="M250" s="364">
        <v>3</v>
      </c>
      <c r="N250" s="364" t="s">
        <v>1759</v>
      </c>
      <c r="O250" s="364">
        <v>0</v>
      </c>
      <c r="P250" s="364">
        <v>123</v>
      </c>
      <c r="Q250" s="364">
        <v>2</v>
      </c>
      <c r="R250" s="364"/>
      <c r="S250" s="364"/>
      <c r="T250" s="364"/>
      <c r="U250" s="364">
        <v>8644.85</v>
      </c>
      <c r="V250" s="364">
        <v>0</v>
      </c>
    </row>
    <row r="251" spans="2:22" x14ac:dyDescent="0.25">
      <c r="B251" s="364" t="s">
        <v>305</v>
      </c>
      <c r="C251" s="364" t="s">
        <v>315</v>
      </c>
      <c r="D251" s="364">
        <v>100</v>
      </c>
      <c r="E251" s="364" t="s">
        <v>941</v>
      </c>
      <c r="F251" s="364" t="s">
        <v>942</v>
      </c>
      <c r="G251" s="364" t="s">
        <v>943</v>
      </c>
      <c r="H251" s="364" t="s">
        <v>760</v>
      </c>
      <c r="I251" s="364">
        <v>35</v>
      </c>
      <c r="J251" s="364">
        <v>83101</v>
      </c>
      <c r="K251" s="364">
        <v>1</v>
      </c>
      <c r="L251" s="364">
        <v>7</v>
      </c>
      <c r="M251" s="364">
        <v>4</v>
      </c>
      <c r="N251" s="364" t="s">
        <v>761</v>
      </c>
      <c r="O251" s="364">
        <v>0</v>
      </c>
      <c r="P251" s="364">
        <v>124</v>
      </c>
      <c r="Q251" s="364">
        <v>2</v>
      </c>
      <c r="R251" s="364"/>
      <c r="S251" s="364"/>
      <c r="T251" s="364"/>
      <c r="U251" s="364">
        <v>6202.31</v>
      </c>
      <c r="V251" s="364">
        <v>0</v>
      </c>
    </row>
    <row r="252" spans="2:22" x14ac:dyDescent="0.25">
      <c r="B252" s="364" t="s">
        <v>305</v>
      </c>
      <c r="C252" s="364" t="s">
        <v>315</v>
      </c>
      <c r="D252" s="364">
        <v>100</v>
      </c>
      <c r="E252" s="364" t="s">
        <v>600</v>
      </c>
      <c r="F252" s="364" t="s">
        <v>601</v>
      </c>
      <c r="G252" s="364" t="s">
        <v>1054</v>
      </c>
      <c r="H252" s="364" t="s">
        <v>316</v>
      </c>
      <c r="I252" s="364">
        <v>35</v>
      </c>
      <c r="J252" s="364">
        <v>83101</v>
      </c>
      <c r="K252" s="364">
        <v>1</v>
      </c>
      <c r="L252" s="364">
        <v>7</v>
      </c>
      <c r="M252" s="364">
        <v>4</v>
      </c>
      <c r="N252" s="364" t="s">
        <v>317</v>
      </c>
      <c r="O252" s="364">
        <v>0</v>
      </c>
      <c r="P252" s="364">
        <v>125</v>
      </c>
      <c r="Q252" s="364">
        <v>2</v>
      </c>
      <c r="R252" s="364"/>
      <c r="S252" s="364"/>
      <c r="T252" s="364"/>
      <c r="U252" s="364">
        <v>7195.38</v>
      </c>
      <c r="V252" s="364">
        <v>0</v>
      </c>
    </row>
    <row r="253" spans="2:22" x14ac:dyDescent="0.25">
      <c r="B253" s="364" t="s">
        <v>305</v>
      </c>
      <c r="C253" s="364" t="s">
        <v>315</v>
      </c>
      <c r="D253" s="364">
        <v>100</v>
      </c>
      <c r="E253" s="364" t="s">
        <v>385</v>
      </c>
      <c r="F253" s="364" t="s">
        <v>386</v>
      </c>
      <c r="G253" s="364" t="s">
        <v>983</v>
      </c>
      <c r="H253" s="364" t="s">
        <v>796</v>
      </c>
      <c r="I253" s="364">
        <v>35</v>
      </c>
      <c r="J253" s="364">
        <v>83101</v>
      </c>
      <c r="K253" s="364">
        <v>1</v>
      </c>
      <c r="L253" s="364">
        <v>7</v>
      </c>
      <c r="M253" s="364">
        <v>4</v>
      </c>
      <c r="N253" s="364" t="s">
        <v>765</v>
      </c>
      <c r="O253" s="364">
        <v>0</v>
      </c>
      <c r="P253" s="364">
        <v>126</v>
      </c>
      <c r="Q253" s="364">
        <v>2</v>
      </c>
      <c r="R253" s="364"/>
      <c r="S253" s="364"/>
      <c r="T253" s="364"/>
      <c r="U253" s="364">
        <v>6651.12</v>
      </c>
      <c r="V253" s="364">
        <v>0</v>
      </c>
    </row>
    <row r="254" spans="2:22" x14ac:dyDescent="0.25">
      <c r="B254" s="364" t="s">
        <v>305</v>
      </c>
      <c r="C254" s="364" t="s">
        <v>315</v>
      </c>
      <c r="D254" s="364">
        <v>100</v>
      </c>
      <c r="E254" s="364" t="s">
        <v>426</v>
      </c>
      <c r="F254" s="364" t="s">
        <v>427</v>
      </c>
      <c r="G254" s="364" t="s">
        <v>1119</v>
      </c>
      <c r="H254" s="364" t="s">
        <v>756</v>
      </c>
      <c r="I254" s="364">
        <v>35</v>
      </c>
      <c r="J254" s="364">
        <v>83101</v>
      </c>
      <c r="K254" s="364">
        <v>1</v>
      </c>
      <c r="L254" s="364">
        <v>7</v>
      </c>
      <c r="M254" s="364">
        <v>4</v>
      </c>
      <c r="N254" s="364" t="s">
        <v>757</v>
      </c>
      <c r="O254" s="364">
        <v>0</v>
      </c>
      <c r="P254" s="364">
        <v>127</v>
      </c>
      <c r="Q254" s="364">
        <v>2</v>
      </c>
      <c r="R254" s="364"/>
      <c r="S254" s="364"/>
      <c r="T254" s="364"/>
      <c r="U254" s="364">
        <v>6032.48</v>
      </c>
      <c r="V254" s="364">
        <v>0</v>
      </c>
    </row>
    <row r="255" spans="2:22" x14ac:dyDescent="0.25">
      <c r="B255" s="364" t="s">
        <v>305</v>
      </c>
      <c r="C255" s="364" t="s">
        <v>315</v>
      </c>
      <c r="D255" s="364">
        <v>100</v>
      </c>
      <c r="E255" s="364" t="s">
        <v>905</v>
      </c>
      <c r="F255" s="364" t="s">
        <v>906</v>
      </c>
      <c r="G255" s="364" t="s">
        <v>1160</v>
      </c>
      <c r="H255" s="364" t="s">
        <v>1370</v>
      </c>
      <c r="I255" s="364">
        <v>35</v>
      </c>
      <c r="J255" s="364">
        <v>83101</v>
      </c>
      <c r="K255" s="364">
        <v>1</v>
      </c>
      <c r="L255" s="364">
        <v>7</v>
      </c>
      <c r="M255" s="364">
        <v>4</v>
      </c>
      <c r="N255" s="364" t="s">
        <v>318</v>
      </c>
      <c r="O255" s="364">
        <v>0</v>
      </c>
      <c r="P255" s="364">
        <v>128</v>
      </c>
      <c r="Q255" s="364">
        <v>2</v>
      </c>
      <c r="R255" s="364"/>
      <c r="S255" s="364"/>
      <c r="T255" s="364"/>
      <c r="U255" s="364">
        <v>11918.68</v>
      </c>
      <c r="V255" s="364">
        <v>0</v>
      </c>
    </row>
    <row r="256" spans="2:22" x14ac:dyDescent="0.25">
      <c r="B256" s="364" t="s">
        <v>305</v>
      </c>
      <c r="C256" s="364" t="s">
        <v>315</v>
      </c>
      <c r="D256" s="364">
        <v>100</v>
      </c>
      <c r="E256" s="364" t="s">
        <v>422</v>
      </c>
      <c r="F256" s="364" t="s">
        <v>423</v>
      </c>
      <c r="G256" s="364" t="s">
        <v>1008</v>
      </c>
      <c r="H256" s="364" t="s">
        <v>756</v>
      </c>
      <c r="I256" s="364">
        <v>35</v>
      </c>
      <c r="J256" s="364">
        <v>83101</v>
      </c>
      <c r="K256" s="364">
        <v>1</v>
      </c>
      <c r="L256" s="364">
        <v>7</v>
      </c>
      <c r="M256" s="364">
        <v>4</v>
      </c>
      <c r="N256" s="364" t="s">
        <v>757</v>
      </c>
      <c r="O256" s="364">
        <v>0</v>
      </c>
      <c r="P256" s="364">
        <v>129</v>
      </c>
      <c r="Q256" s="364">
        <v>2</v>
      </c>
      <c r="R256" s="364"/>
      <c r="S256" s="364"/>
      <c r="T256" s="364"/>
      <c r="U256" s="364">
        <v>6553.44</v>
      </c>
      <c r="V256" s="364">
        <v>0</v>
      </c>
    </row>
    <row r="257" spans="2:22" x14ac:dyDescent="0.25">
      <c r="B257" s="364" t="s">
        <v>305</v>
      </c>
      <c r="C257" s="364" t="s">
        <v>315</v>
      </c>
      <c r="D257" s="364">
        <v>100</v>
      </c>
      <c r="E257" s="364" t="s">
        <v>891</v>
      </c>
      <c r="F257" s="364" t="s">
        <v>892</v>
      </c>
      <c r="G257" s="364" t="s">
        <v>1171</v>
      </c>
      <c r="H257" s="364" t="s">
        <v>316</v>
      </c>
      <c r="I257" s="364">
        <v>35</v>
      </c>
      <c r="J257" s="364">
        <v>83101</v>
      </c>
      <c r="K257" s="364">
        <v>1</v>
      </c>
      <c r="L257" s="364">
        <v>7</v>
      </c>
      <c r="M257" s="364">
        <v>4</v>
      </c>
      <c r="N257" s="364" t="s">
        <v>317</v>
      </c>
      <c r="O257" s="364">
        <v>0</v>
      </c>
      <c r="P257" s="364">
        <v>13</v>
      </c>
      <c r="Q257" s="364">
        <v>2</v>
      </c>
      <c r="R257" s="364"/>
      <c r="S257" s="364"/>
      <c r="T257" s="364"/>
      <c r="U257" s="364">
        <v>6089.62</v>
      </c>
      <c r="V257" s="364">
        <v>0</v>
      </c>
    </row>
    <row r="258" spans="2:22" x14ac:dyDescent="0.25">
      <c r="B258" s="364" t="s">
        <v>305</v>
      </c>
      <c r="C258" s="364" t="s">
        <v>315</v>
      </c>
      <c r="D258" s="364">
        <v>100</v>
      </c>
      <c r="E258" s="364" t="s">
        <v>832</v>
      </c>
      <c r="F258" s="364" t="s">
        <v>833</v>
      </c>
      <c r="G258" s="364" t="s">
        <v>1143</v>
      </c>
      <c r="H258" s="364" t="s">
        <v>758</v>
      </c>
      <c r="I258" s="364">
        <v>35</v>
      </c>
      <c r="J258" s="364">
        <v>83101</v>
      </c>
      <c r="K258" s="364">
        <v>1</v>
      </c>
      <c r="L258" s="364">
        <v>7</v>
      </c>
      <c r="M258" s="364">
        <v>4</v>
      </c>
      <c r="N258" s="364" t="s">
        <v>759</v>
      </c>
      <c r="O258" s="364">
        <v>0</v>
      </c>
      <c r="P258" s="364">
        <v>130</v>
      </c>
      <c r="Q258" s="364">
        <v>2</v>
      </c>
      <c r="R258" s="364"/>
      <c r="S258" s="364"/>
      <c r="T258" s="364"/>
      <c r="U258" s="364">
        <v>6385.02</v>
      </c>
      <c r="V258" s="364">
        <v>0</v>
      </c>
    </row>
    <row r="259" spans="2:22" x14ac:dyDescent="0.25">
      <c r="B259" s="364" t="s">
        <v>305</v>
      </c>
      <c r="C259" s="364" t="s">
        <v>315</v>
      </c>
      <c r="D259" s="364">
        <v>100</v>
      </c>
      <c r="E259" s="364" t="s">
        <v>1430</v>
      </c>
      <c r="F259" s="364" t="s">
        <v>1431</v>
      </c>
      <c r="G259" s="364" t="s">
        <v>1432</v>
      </c>
      <c r="H259" s="364" t="s">
        <v>796</v>
      </c>
      <c r="I259" s="364">
        <v>35</v>
      </c>
      <c r="J259" s="364">
        <v>83101</v>
      </c>
      <c r="K259" s="364">
        <v>1</v>
      </c>
      <c r="L259" s="364">
        <v>7</v>
      </c>
      <c r="M259" s="364">
        <v>1</v>
      </c>
      <c r="N259" s="364" t="s">
        <v>765</v>
      </c>
      <c r="O259" s="364">
        <v>0</v>
      </c>
      <c r="P259" s="364">
        <v>131</v>
      </c>
      <c r="Q259" s="364">
        <v>2</v>
      </c>
      <c r="R259" s="364"/>
      <c r="S259" s="364"/>
      <c r="T259" s="364"/>
      <c r="U259" s="364">
        <v>5023.4799999999996</v>
      </c>
      <c r="V259" s="364">
        <v>0</v>
      </c>
    </row>
    <row r="260" spans="2:22" x14ac:dyDescent="0.25">
      <c r="B260" s="364" t="s">
        <v>305</v>
      </c>
      <c r="C260" s="364" t="s">
        <v>315</v>
      </c>
      <c r="D260" s="364">
        <v>100</v>
      </c>
      <c r="E260" s="364" t="s">
        <v>537</v>
      </c>
      <c r="F260" s="364" t="s">
        <v>538</v>
      </c>
      <c r="G260" s="364" t="s">
        <v>1019</v>
      </c>
      <c r="H260" s="364" t="s">
        <v>316</v>
      </c>
      <c r="I260" s="364">
        <v>35</v>
      </c>
      <c r="J260" s="364">
        <v>83101</v>
      </c>
      <c r="K260" s="364">
        <v>1</v>
      </c>
      <c r="L260" s="364">
        <v>7</v>
      </c>
      <c r="M260" s="364">
        <v>4</v>
      </c>
      <c r="N260" s="364" t="s">
        <v>317</v>
      </c>
      <c r="O260" s="364">
        <v>0</v>
      </c>
      <c r="P260" s="364">
        <v>132</v>
      </c>
      <c r="Q260" s="364">
        <v>2</v>
      </c>
      <c r="R260" s="364"/>
      <c r="S260" s="364"/>
      <c r="T260" s="364"/>
      <c r="U260" s="364">
        <v>7560.05</v>
      </c>
      <c r="V260" s="364">
        <v>0</v>
      </c>
    </row>
    <row r="261" spans="2:22" x14ac:dyDescent="0.25">
      <c r="B261" s="364" t="s">
        <v>305</v>
      </c>
      <c r="C261" s="364" t="s">
        <v>315</v>
      </c>
      <c r="D261" s="364">
        <v>100</v>
      </c>
      <c r="E261" s="364" t="s">
        <v>404</v>
      </c>
      <c r="F261" s="364" t="s">
        <v>405</v>
      </c>
      <c r="G261" s="364" t="s">
        <v>1389</v>
      </c>
      <c r="H261" s="364" t="s">
        <v>756</v>
      </c>
      <c r="I261" s="364">
        <v>35</v>
      </c>
      <c r="J261" s="364">
        <v>83101</v>
      </c>
      <c r="K261" s="364">
        <v>1</v>
      </c>
      <c r="L261" s="364">
        <v>7</v>
      </c>
      <c r="M261" s="364">
        <v>4</v>
      </c>
      <c r="N261" s="364" t="s">
        <v>757</v>
      </c>
      <c r="O261" s="364">
        <v>0</v>
      </c>
      <c r="P261" s="364">
        <v>133</v>
      </c>
      <c r="Q261" s="364">
        <v>2</v>
      </c>
      <c r="R261" s="364"/>
      <c r="S261" s="364"/>
      <c r="T261" s="364"/>
      <c r="U261" s="364">
        <v>5815.42</v>
      </c>
      <c r="V261" s="364">
        <v>0</v>
      </c>
    </row>
    <row r="262" spans="2:22" x14ac:dyDescent="0.25">
      <c r="B262" s="364" t="s">
        <v>305</v>
      </c>
      <c r="C262" s="364" t="s">
        <v>315</v>
      </c>
      <c r="D262" s="364">
        <v>100</v>
      </c>
      <c r="E262" s="364" t="s">
        <v>822</v>
      </c>
      <c r="F262" s="364" t="s">
        <v>823</v>
      </c>
      <c r="G262" s="364" t="s">
        <v>1145</v>
      </c>
      <c r="H262" s="364" t="s">
        <v>756</v>
      </c>
      <c r="I262" s="364">
        <v>35</v>
      </c>
      <c r="J262" s="364">
        <v>83101</v>
      </c>
      <c r="K262" s="364">
        <v>1</v>
      </c>
      <c r="L262" s="364">
        <v>7</v>
      </c>
      <c r="M262" s="364">
        <v>4</v>
      </c>
      <c r="N262" s="364" t="s">
        <v>757</v>
      </c>
      <c r="O262" s="364">
        <v>0</v>
      </c>
      <c r="P262" s="364">
        <v>134</v>
      </c>
      <c r="Q262" s="364">
        <v>2</v>
      </c>
      <c r="R262" s="364"/>
      <c r="S262" s="364"/>
      <c r="T262" s="364"/>
      <c r="U262" s="364">
        <v>7487.17</v>
      </c>
      <c r="V262" s="364">
        <v>0</v>
      </c>
    </row>
    <row r="263" spans="2:22" x14ac:dyDescent="0.25">
      <c r="B263" s="364" t="s">
        <v>305</v>
      </c>
      <c r="C263" s="364" t="s">
        <v>315</v>
      </c>
      <c r="D263" s="364">
        <v>100</v>
      </c>
      <c r="E263" s="364" t="s">
        <v>424</v>
      </c>
      <c r="F263" s="364" t="s">
        <v>425</v>
      </c>
      <c r="G263" s="364" t="s">
        <v>1027</v>
      </c>
      <c r="H263" s="364" t="s">
        <v>758</v>
      </c>
      <c r="I263" s="364">
        <v>35</v>
      </c>
      <c r="J263" s="364">
        <v>83101</v>
      </c>
      <c r="K263" s="364">
        <v>1</v>
      </c>
      <c r="L263" s="364">
        <v>7</v>
      </c>
      <c r="M263" s="364">
        <v>4</v>
      </c>
      <c r="N263" s="364" t="s">
        <v>759</v>
      </c>
      <c r="O263" s="364">
        <v>0</v>
      </c>
      <c r="P263" s="364">
        <v>135</v>
      </c>
      <c r="Q263" s="364">
        <v>2</v>
      </c>
      <c r="R263" s="364"/>
      <c r="S263" s="364"/>
      <c r="T263" s="364"/>
      <c r="U263" s="364">
        <v>6913.79</v>
      </c>
      <c r="V263" s="364">
        <v>0</v>
      </c>
    </row>
    <row r="264" spans="2:22" x14ac:dyDescent="0.25">
      <c r="B264" s="364" t="s">
        <v>305</v>
      </c>
      <c r="C264" s="364" t="s">
        <v>315</v>
      </c>
      <c r="D264" s="364">
        <v>100</v>
      </c>
      <c r="E264" s="364" t="s">
        <v>1414</v>
      </c>
      <c r="F264" s="364" t="s">
        <v>1415</v>
      </c>
      <c r="G264" s="364" t="s">
        <v>1509</v>
      </c>
      <c r="H264" s="364" t="s">
        <v>1370</v>
      </c>
      <c r="I264" s="364">
        <v>35</v>
      </c>
      <c r="J264" s="364">
        <v>83101</v>
      </c>
      <c r="K264" s="364">
        <v>1</v>
      </c>
      <c r="L264" s="364">
        <v>7</v>
      </c>
      <c r="M264" s="364">
        <v>1</v>
      </c>
      <c r="N264" s="364" t="s">
        <v>318</v>
      </c>
      <c r="O264" s="364">
        <v>0</v>
      </c>
      <c r="P264" s="364">
        <v>136</v>
      </c>
      <c r="Q264" s="364">
        <v>2</v>
      </c>
      <c r="R264" s="364"/>
      <c r="S264" s="364"/>
      <c r="T264" s="364"/>
      <c r="U264" s="364">
        <v>12036.18</v>
      </c>
      <c r="V264" s="364">
        <v>0</v>
      </c>
    </row>
    <row r="265" spans="2:22" x14ac:dyDescent="0.25">
      <c r="B265" s="364" t="s">
        <v>305</v>
      </c>
      <c r="C265" s="364" t="s">
        <v>315</v>
      </c>
      <c r="D265" s="364">
        <v>100</v>
      </c>
      <c r="E265" s="364" t="s">
        <v>1724</v>
      </c>
      <c r="F265" s="364" t="s">
        <v>1725</v>
      </c>
      <c r="G265" s="364" t="s">
        <v>1726</v>
      </c>
      <c r="H265" s="364" t="s">
        <v>1370</v>
      </c>
      <c r="I265" s="364">
        <v>35</v>
      </c>
      <c r="J265" s="364">
        <v>83101</v>
      </c>
      <c r="K265" s="364">
        <v>1</v>
      </c>
      <c r="L265" s="364">
        <v>7</v>
      </c>
      <c r="M265" s="364">
        <v>4</v>
      </c>
      <c r="N265" s="364" t="s">
        <v>318</v>
      </c>
      <c r="O265" s="364">
        <v>0</v>
      </c>
      <c r="P265" s="364">
        <v>137</v>
      </c>
      <c r="Q265" s="364">
        <v>2</v>
      </c>
      <c r="R265" s="364"/>
      <c r="S265" s="364"/>
      <c r="T265" s="364"/>
      <c r="U265" s="364">
        <v>17480.75</v>
      </c>
      <c r="V265" s="364">
        <v>0</v>
      </c>
    </row>
    <row r="266" spans="2:22" x14ac:dyDescent="0.25">
      <c r="B266" s="364" t="s">
        <v>305</v>
      </c>
      <c r="C266" s="364" t="s">
        <v>315</v>
      </c>
      <c r="D266" s="364">
        <v>100</v>
      </c>
      <c r="E266" s="364" t="s">
        <v>738</v>
      </c>
      <c r="F266" s="364" t="s">
        <v>739</v>
      </c>
      <c r="G266" s="364" t="s">
        <v>971</v>
      </c>
      <c r="H266" s="364" t="s">
        <v>766</v>
      </c>
      <c r="I266" s="364">
        <v>35</v>
      </c>
      <c r="J266" s="364">
        <v>83101</v>
      </c>
      <c r="K266" s="364">
        <v>1</v>
      </c>
      <c r="L266" s="364">
        <v>7</v>
      </c>
      <c r="M266" s="364">
        <v>4</v>
      </c>
      <c r="N266" s="364" t="s">
        <v>767</v>
      </c>
      <c r="O266" s="364">
        <v>0</v>
      </c>
      <c r="P266" s="364">
        <v>138</v>
      </c>
      <c r="Q266" s="364">
        <v>2</v>
      </c>
      <c r="R266" s="364"/>
      <c r="S266" s="364"/>
      <c r="T266" s="364"/>
      <c r="U266" s="364">
        <v>13149.87</v>
      </c>
      <c r="V266" s="364">
        <v>0</v>
      </c>
    </row>
    <row r="267" spans="2:22" x14ac:dyDescent="0.25">
      <c r="B267" s="364" t="s">
        <v>305</v>
      </c>
      <c r="C267" s="364" t="s">
        <v>315</v>
      </c>
      <c r="D267" s="364">
        <v>100</v>
      </c>
      <c r="E267" s="364" t="s">
        <v>1446</v>
      </c>
      <c r="F267" s="364" t="s">
        <v>1447</v>
      </c>
      <c r="G267" s="364" t="s">
        <v>1448</v>
      </c>
      <c r="H267" s="364" t="s">
        <v>316</v>
      </c>
      <c r="I267" s="364">
        <v>35</v>
      </c>
      <c r="J267" s="364">
        <v>83101</v>
      </c>
      <c r="K267" s="364">
        <v>1</v>
      </c>
      <c r="L267" s="364">
        <v>7</v>
      </c>
      <c r="M267" s="364">
        <v>4</v>
      </c>
      <c r="N267" s="364" t="s">
        <v>317</v>
      </c>
      <c r="O267" s="364">
        <v>0</v>
      </c>
      <c r="P267" s="364">
        <v>139</v>
      </c>
      <c r="Q267" s="364">
        <v>2</v>
      </c>
      <c r="R267" s="364"/>
      <c r="S267" s="364"/>
      <c r="T267" s="364"/>
      <c r="U267" s="364">
        <v>6089.62</v>
      </c>
      <c r="V267" s="364">
        <v>0</v>
      </c>
    </row>
    <row r="268" spans="2:22" x14ac:dyDescent="0.25">
      <c r="B268" s="364" t="s">
        <v>305</v>
      </c>
      <c r="C268" s="364" t="s">
        <v>315</v>
      </c>
      <c r="D268" s="364">
        <v>100</v>
      </c>
      <c r="E268" s="364" t="s">
        <v>418</v>
      </c>
      <c r="F268" s="364" t="s">
        <v>419</v>
      </c>
      <c r="G268" s="364" t="s">
        <v>973</v>
      </c>
      <c r="H268" s="364" t="s">
        <v>756</v>
      </c>
      <c r="I268" s="364">
        <v>35</v>
      </c>
      <c r="J268" s="364">
        <v>83101</v>
      </c>
      <c r="K268" s="364">
        <v>1</v>
      </c>
      <c r="L268" s="364">
        <v>7</v>
      </c>
      <c r="M268" s="364">
        <v>4</v>
      </c>
      <c r="N268" s="364" t="s">
        <v>757</v>
      </c>
      <c r="O268" s="364">
        <v>0</v>
      </c>
      <c r="P268" s="364">
        <v>14</v>
      </c>
      <c r="Q268" s="364">
        <v>2</v>
      </c>
      <c r="R268" s="364"/>
      <c r="S268" s="364"/>
      <c r="T268" s="364"/>
      <c r="U268" s="364">
        <v>6661.97</v>
      </c>
      <c r="V268" s="364">
        <v>0</v>
      </c>
    </row>
    <row r="269" spans="2:22" x14ac:dyDescent="0.25">
      <c r="B269" s="364" t="s">
        <v>305</v>
      </c>
      <c r="C269" s="364" t="s">
        <v>315</v>
      </c>
      <c r="D269" s="364">
        <v>100</v>
      </c>
      <c r="E269" s="364" t="s">
        <v>671</v>
      </c>
      <c r="F269" s="364" t="s">
        <v>672</v>
      </c>
      <c r="G269" s="364" t="s">
        <v>1386</v>
      </c>
      <c r="H269" s="364" t="s">
        <v>316</v>
      </c>
      <c r="I269" s="364">
        <v>35</v>
      </c>
      <c r="J269" s="364">
        <v>83101</v>
      </c>
      <c r="K269" s="364">
        <v>1</v>
      </c>
      <c r="L269" s="364">
        <v>7</v>
      </c>
      <c r="M269" s="364">
        <v>4</v>
      </c>
      <c r="N269" s="364" t="s">
        <v>317</v>
      </c>
      <c r="O269" s="364">
        <v>0</v>
      </c>
      <c r="P269" s="364">
        <v>140</v>
      </c>
      <c r="Q269" s="364">
        <v>2</v>
      </c>
      <c r="R269" s="364"/>
      <c r="S269" s="364"/>
      <c r="T269" s="364"/>
      <c r="U269" s="364">
        <v>9314.5499999999993</v>
      </c>
      <c r="V269" s="364">
        <v>0</v>
      </c>
    </row>
    <row r="270" spans="2:22" x14ac:dyDescent="0.25">
      <c r="B270" s="364" t="s">
        <v>305</v>
      </c>
      <c r="C270" s="364" t="s">
        <v>315</v>
      </c>
      <c r="D270" s="364">
        <v>100</v>
      </c>
      <c r="E270" s="364" t="s">
        <v>510</v>
      </c>
      <c r="F270" s="364" t="s">
        <v>511</v>
      </c>
      <c r="G270" s="364" t="s">
        <v>946</v>
      </c>
      <c r="H270" s="364" t="s">
        <v>316</v>
      </c>
      <c r="I270" s="364">
        <v>35</v>
      </c>
      <c r="J270" s="364">
        <v>83101</v>
      </c>
      <c r="K270" s="364">
        <v>1</v>
      </c>
      <c r="L270" s="364">
        <v>7</v>
      </c>
      <c r="M270" s="364">
        <v>4</v>
      </c>
      <c r="N270" s="364" t="s">
        <v>317</v>
      </c>
      <c r="O270" s="364">
        <v>0</v>
      </c>
      <c r="P270" s="364">
        <v>187</v>
      </c>
      <c r="Q270" s="364">
        <v>2</v>
      </c>
      <c r="R270" s="364"/>
      <c r="S270" s="364"/>
      <c r="T270" s="364"/>
      <c r="U270" s="364">
        <v>7888.25</v>
      </c>
      <c r="V270" s="364">
        <v>0</v>
      </c>
    </row>
    <row r="271" spans="2:22" x14ac:dyDescent="0.25">
      <c r="B271" s="364" t="s">
        <v>305</v>
      </c>
      <c r="C271" s="364" t="s">
        <v>315</v>
      </c>
      <c r="D271" s="364">
        <v>100</v>
      </c>
      <c r="E271" s="364" t="s">
        <v>545</v>
      </c>
      <c r="F271" s="364" t="s">
        <v>546</v>
      </c>
      <c r="G271" s="364" t="s">
        <v>1056</v>
      </c>
      <c r="H271" s="364" t="s">
        <v>316</v>
      </c>
      <c r="I271" s="364">
        <v>35</v>
      </c>
      <c r="J271" s="364">
        <v>83101</v>
      </c>
      <c r="K271" s="364">
        <v>1</v>
      </c>
      <c r="L271" s="364">
        <v>7</v>
      </c>
      <c r="M271" s="364">
        <v>4</v>
      </c>
      <c r="N271" s="364" t="s">
        <v>317</v>
      </c>
      <c r="O271" s="364">
        <v>0</v>
      </c>
      <c r="P271" s="364">
        <v>188</v>
      </c>
      <c r="Q271" s="364">
        <v>2</v>
      </c>
      <c r="R271" s="364"/>
      <c r="S271" s="364"/>
      <c r="T271" s="364"/>
      <c r="U271" s="364">
        <v>6727.79</v>
      </c>
      <c r="V271" s="364">
        <v>0</v>
      </c>
    </row>
    <row r="272" spans="2:22" x14ac:dyDescent="0.25">
      <c r="B272" s="364" t="s">
        <v>305</v>
      </c>
      <c r="C272" s="364" t="s">
        <v>315</v>
      </c>
      <c r="D272" s="364">
        <v>100</v>
      </c>
      <c r="E272" s="364" t="s">
        <v>539</v>
      </c>
      <c r="F272" s="364" t="s">
        <v>540</v>
      </c>
      <c r="G272" s="364" t="s">
        <v>1024</v>
      </c>
      <c r="H272" s="364" t="s">
        <v>316</v>
      </c>
      <c r="I272" s="364">
        <v>35</v>
      </c>
      <c r="J272" s="364">
        <v>83101</v>
      </c>
      <c r="K272" s="364">
        <v>1</v>
      </c>
      <c r="L272" s="364">
        <v>7</v>
      </c>
      <c r="M272" s="364">
        <v>4</v>
      </c>
      <c r="N272" s="364" t="s">
        <v>317</v>
      </c>
      <c r="O272" s="364">
        <v>0</v>
      </c>
      <c r="P272" s="364">
        <v>189</v>
      </c>
      <c r="Q272" s="364">
        <v>2</v>
      </c>
      <c r="R272" s="364"/>
      <c r="S272" s="364"/>
      <c r="T272" s="364"/>
      <c r="U272" s="364">
        <v>7523.58</v>
      </c>
      <c r="V272" s="364">
        <v>0</v>
      </c>
    </row>
    <row r="273" spans="2:22" x14ac:dyDescent="0.25">
      <c r="B273" s="364" t="s">
        <v>305</v>
      </c>
      <c r="C273" s="364" t="s">
        <v>315</v>
      </c>
      <c r="D273" s="364">
        <v>100</v>
      </c>
      <c r="E273" s="364" t="s">
        <v>1408</v>
      </c>
      <c r="F273" s="364" t="s">
        <v>1409</v>
      </c>
      <c r="G273" s="364" t="s">
        <v>1410</v>
      </c>
      <c r="H273" s="364" t="s">
        <v>756</v>
      </c>
      <c r="I273" s="364">
        <v>35</v>
      </c>
      <c r="J273" s="364">
        <v>83101</v>
      </c>
      <c r="K273" s="364">
        <v>1</v>
      </c>
      <c r="L273" s="364">
        <v>7</v>
      </c>
      <c r="M273" s="364">
        <v>4</v>
      </c>
      <c r="N273" s="364" t="s">
        <v>757</v>
      </c>
      <c r="O273" s="364">
        <v>0</v>
      </c>
      <c r="P273" s="364">
        <v>19</v>
      </c>
      <c r="Q273" s="364">
        <v>2</v>
      </c>
      <c r="R273" s="364"/>
      <c r="S273" s="364"/>
      <c r="T273" s="364"/>
      <c r="U273" s="364">
        <v>5240.54</v>
      </c>
      <c r="V273" s="364">
        <v>0</v>
      </c>
    </row>
    <row r="274" spans="2:22" x14ac:dyDescent="0.25">
      <c r="B274" s="364" t="s">
        <v>305</v>
      </c>
      <c r="C274" s="364" t="s">
        <v>315</v>
      </c>
      <c r="D274" s="364">
        <v>100</v>
      </c>
      <c r="E274" s="364" t="s">
        <v>632</v>
      </c>
      <c r="F274" s="364" t="s">
        <v>633</v>
      </c>
      <c r="G274" s="364" t="s">
        <v>1081</v>
      </c>
      <c r="H274" s="364" t="s">
        <v>316</v>
      </c>
      <c r="I274" s="364">
        <v>35</v>
      </c>
      <c r="J274" s="364">
        <v>83101</v>
      </c>
      <c r="K274" s="364">
        <v>1</v>
      </c>
      <c r="L274" s="364">
        <v>7</v>
      </c>
      <c r="M274" s="364">
        <v>4</v>
      </c>
      <c r="N274" s="364" t="s">
        <v>317</v>
      </c>
      <c r="O274" s="364">
        <v>0</v>
      </c>
      <c r="P274" s="364">
        <v>190</v>
      </c>
      <c r="Q274" s="364">
        <v>2</v>
      </c>
      <c r="R274" s="364"/>
      <c r="S274" s="364"/>
      <c r="T274" s="364"/>
      <c r="U274" s="364">
        <v>6508.99</v>
      </c>
      <c r="V274" s="364">
        <v>0</v>
      </c>
    </row>
    <row r="275" spans="2:22" x14ac:dyDescent="0.25">
      <c r="B275" s="364" t="s">
        <v>305</v>
      </c>
      <c r="C275" s="364" t="s">
        <v>315</v>
      </c>
      <c r="D275" s="364">
        <v>100</v>
      </c>
      <c r="E275" s="364" t="s">
        <v>596</v>
      </c>
      <c r="F275" s="364" t="s">
        <v>597</v>
      </c>
      <c r="G275" s="364" t="s">
        <v>1055</v>
      </c>
      <c r="H275" s="364" t="s">
        <v>316</v>
      </c>
      <c r="I275" s="364">
        <v>35</v>
      </c>
      <c r="J275" s="364">
        <v>83101</v>
      </c>
      <c r="K275" s="364">
        <v>1</v>
      </c>
      <c r="L275" s="364">
        <v>7</v>
      </c>
      <c r="M275" s="364">
        <v>4</v>
      </c>
      <c r="N275" s="364" t="s">
        <v>317</v>
      </c>
      <c r="O275" s="364">
        <v>0</v>
      </c>
      <c r="P275" s="364">
        <v>191</v>
      </c>
      <c r="Q275" s="364">
        <v>2</v>
      </c>
      <c r="R275" s="364"/>
      <c r="S275" s="364"/>
      <c r="T275" s="364"/>
      <c r="U275" s="364">
        <v>7195.38</v>
      </c>
      <c r="V275" s="364">
        <v>0</v>
      </c>
    </row>
    <row r="276" spans="2:22" x14ac:dyDescent="0.25">
      <c r="B276" s="364" t="s">
        <v>305</v>
      </c>
      <c r="C276" s="364" t="s">
        <v>315</v>
      </c>
      <c r="D276" s="364">
        <v>100</v>
      </c>
      <c r="E276" s="364" t="s">
        <v>1112</v>
      </c>
      <c r="F276" s="364" t="s">
        <v>723</v>
      </c>
      <c r="G276" s="364" t="s">
        <v>1113</v>
      </c>
      <c r="H276" s="364" t="s">
        <v>316</v>
      </c>
      <c r="I276" s="364">
        <v>35</v>
      </c>
      <c r="J276" s="364">
        <v>83101</v>
      </c>
      <c r="K276" s="364">
        <v>1</v>
      </c>
      <c r="L276" s="364">
        <v>7</v>
      </c>
      <c r="M276" s="364">
        <v>4</v>
      </c>
      <c r="N276" s="364" t="s">
        <v>317</v>
      </c>
      <c r="O276" s="364">
        <v>0</v>
      </c>
      <c r="P276" s="364">
        <v>192</v>
      </c>
      <c r="Q276" s="364">
        <v>2</v>
      </c>
      <c r="R276" s="364"/>
      <c r="S276" s="364"/>
      <c r="T276" s="364"/>
      <c r="U276" s="364">
        <v>6089.62</v>
      </c>
      <c r="V276" s="364">
        <v>0</v>
      </c>
    </row>
    <row r="277" spans="2:22" x14ac:dyDescent="0.25">
      <c r="B277" s="364" t="s">
        <v>305</v>
      </c>
      <c r="C277" s="364" t="s">
        <v>315</v>
      </c>
      <c r="D277" s="364">
        <v>100</v>
      </c>
      <c r="E277" s="364" t="s">
        <v>608</v>
      </c>
      <c r="F277" s="364" t="s">
        <v>609</v>
      </c>
      <c r="G277" s="364" t="s">
        <v>1052</v>
      </c>
      <c r="H277" s="364" t="s">
        <v>316</v>
      </c>
      <c r="I277" s="364">
        <v>35</v>
      </c>
      <c r="J277" s="364">
        <v>83101</v>
      </c>
      <c r="K277" s="364">
        <v>1</v>
      </c>
      <c r="L277" s="364">
        <v>7</v>
      </c>
      <c r="M277" s="364">
        <v>4</v>
      </c>
      <c r="N277" s="364" t="s">
        <v>317</v>
      </c>
      <c r="O277" s="364">
        <v>0</v>
      </c>
      <c r="P277" s="364">
        <v>193</v>
      </c>
      <c r="Q277" s="364">
        <v>2</v>
      </c>
      <c r="R277" s="364"/>
      <c r="S277" s="364"/>
      <c r="T277" s="364"/>
      <c r="U277" s="364">
        <v>7195.38</v>
      </c>
      <c r="V277" s="364">
        <v>0</v>
      </c>
    </row>
    <row r="278" spans="2:22" x14ac:dyDescent="0.25">
      <c r="B278" s="364" t="s">
        <v>305</v>
      </c>
      <c r="C278" s="364" t="s">
        <v>315</v>
      </c>
      <c r="D278" s="364">
        <v>100</v>
      </c>
      <c r="E278" s="364" t="s">
        <v>724</v>
      </c>
      <c r="F278" s="364" t="s">
        <v>725</v>
      </c>
      <c r="G278" s="364" t="s">
        <v>1111</v>
      </c>
      <c r="H278" s="364" t="s">
        <v>316</v>
      </c>
      <c r="I278" s="364">
        <v>35</v>
      </c>
      <c r="J278" s="364">
        <v>83101</v>
      </c>
      <c r="K278" s="364">
        <v>1</v>
      </c>
      <c r="L278" s="364">
        <v>7</v>
      </c>
      <c r="M278" s="364">
        <v>4</v>
      </c>
      <c r="N278" s="364" t="s">
        <v>317</v>
      </c>
      <c r="O278" s="364">
        <v>0</v>
      </c>
      <c r="P278" s="364">
        <v>194</v>
      </c>
      <c r="Q278" s="364">
        <v>2</v>
      </c>
      <c r="R278" s="364"/>
      <c r="S278" s="364"/>
      <c r="T278" s="364"/>
      <c r="U278" s="364">
        <v>6976.58</v>
      </c>
      <c r="V278" s="364">
        <v>0</v>
      </c>
    </row>
    <row r="279" spans="2:22" x14ac:dyDescent="0.25">
      <c r="B279" s="364" t="s">
        <v>305</v>
      </c>
      <c r="C279" s="364" t="s">
        <v>315</v>
      </c>
      <c r="D279" s="364">
        <v>100</v>
      </c>
      <c r="E279" s="364" t="s">
        <v>622</v>
      </c>
      <c r="F279" s="364" t="s">
        <v>623</v>
      </c>
      <c r="G279" s="364" t="s">
        <v>993</v>
      </c>
      <c r="H279" s="364" t="s">
        <v>316</v>
      </c>
      <c r="I279" s="364">
        <v>35</v>
      </c>
      <c r="J279" s="364">
        <v>83101</v>
      </c>
      <c r="K279" s="364">
        <v>1</v>
      </c>
      <c r="L279" s="364">
        <v>7</v>
      </c>
      <c r="M279" s="364">
        <v>4</v>
      </c>
      <c r="N279" s="364" t="s">
        <v>317</v>
      </c>
      <c r="O279" s="364">
        <v>0</v>
      </c>
      <c r="P279" s="364">
        <v>195</v>
      </c>
      <c r="Q279" s="364">
        <v>2</v>
      </c>
      <c r="R279" s="364"/>
      <c r="S279" s="364"/>
      <c r="T279" s="364"/>
      <c r="U279" s="364">
        <v>7165.39</v>
      </c>
      <c r="V279" s="364">
        <v>0</v>
      </c>
    </row>
    <row r="280" spans="2:22" x14ac:dyDescent="0.25">
      <c r="B280" s="364" t="s">
        <v>305</v>
      </c>
      <c r="C280" s="364" t="s">
        <v>315</v>
      </c>
      <c r="D280" s="364">
        <v>100</v>
      </c>
      <c r="E280" s="364" t="s">
        <v>616</v>
      </c>
      <c r="F280" s="364" t="s">
        <v>617</v>
      </c>
      <c r="G280" s="364" t="s">
        <v>1084</v>
      </c>
      <c r="H280" s="364" t="s">
        <v>316</v>
      </c>
      <c r="I280" s="364">
        <v>35</v>
      </c>
      <c r="J280" s="364">
        <v>83101</v>
      </c>
      <c r="K280" s="364">
        <v>1</v>
      </c>
      <c r="L280" s="364">
        <v>7</v>
      </c>
      <c r="M280" s="364">
        <v>4</v>
      </c>
      <c r="N280" s="364" t="s">
        <v>317</v>
      </c>
      <c r="O280" s="364">
        <v>0</v>
      </c>
      <c r="P280" s="364">
        <v>196</v>
      </c>
      <c r="Q280" s="364">
        <v>2</v>
      </c>
      <c r="R280" s="364"/>
      <c r="S280" s="364"/>
      <c r="T280" s="364"/>
      <c r="U280" s="364">
        <v>6976.58</v>
      </c>
      <c r="V280" s="364">
        <v>0</v>
      </c>
    </row>
    <row r="281" spans="2:22" x14ac:dyDescent="0.25">
      <c r="B281" s="364" t="s">
        <v>305</v>
      </c>
      <c r="C281" s="364" t="s">
        <v>315</v>
      </c>
      <c r="D281" s="364">
        <v>100</v>
      </c>
      <c r="E281" s="364" t="s">
        <v>586</v>
      </c>
      <c r="F281" s="364" t="s">
        <v>587</v>
      </c>
      <c r="G281" s="364" t="s">
        <v>951</v>
      </c>
      <c r="H281" s="364" t="s">
        <v>316</v>
      </c>
      <c r="I281" s="364">
        <v>35</v>
      </c>
      <c r="J281" s="364">
        <v>83101</v>
      </c>
      <c r="K281" s="364">
        <v>1</v>
      </c>
      <c r="L281" s="364">
        <v>7</v>
      </c>
      <c r="M281" s="364">
        <v>4</v>
      </c>
      <c r="N281" s="364" t="s">
        <v>317</v>
      </c>
      <c r="O281" s="364">
        <v>0</v>
      </c>
      <c r="P281" s="364">
        <v>197</v>
      </c>
      <c r="Q281" s="364">
        <v>2</v>
      </c>
      <c r="R281" s="364"/>
      <c r="S281" s="364"/>
      <c r="T281" s="364"/>
      <c r="U281" s="364">
        <v>7420.66</v>
      </c>
      <c r="V281" s="364">
        <v>0</v>
      </c>
    </row>
    <row r="282" spans="2:22" x14ac:dyDescent="0.25">
      <c r="B282" s="364" t="s">
        <v>305</v>
      </c>
      <c r="C282" s="364" t="s">
        <v>315</v>
      </c>
      <c r="D282" s="364">
        <v>100</v>
      </c>
      <c r="E282" s="364" t="s">
        <v>719</v>
      </c>
      <c r="F282" s="364" t="s">
        <v>720</v>
      </c>
      <c r="G282" s="364" t="s">
        <v>1109</v>
      </c>
      <c r="H282" s="364" t="s">
        <v>316</v>
      </c>
      <c r="I282" s="364">
        <v>35</v>
      </c>
      <c r="J282" s="364">
        <v>83101</v>
      </c>
      <c r="K282" s="364">
        <v>1</v>
      </c>
      <c r="L282" s="364">
        <v>7</v>
      </c>
      <c r="M282" s="364">
        <v>4</v>
      </c>
      <c r="N282" s="364" t="s">
        <v>317</v>
      </c>
      <c r="O282" s="364">
        <v>0</v>
      </c>
      <c r="P282" s="364">
        <v>198</v>
      </c>
      <c r="Q282" s="364">
        <v>2</v>
      </c>
      <c r="R282" s="364"/>
      <c r="S282" s="364"/>
      <c r="T282" s="364"/>
      <c r="U282" s="364">
        <v>6089.62</v>
      </c>
      <c r="V282" s="364">
        <v>0</v>
      </c>
    </row>
    <row r="283" spans="2:22" x14ac:dyDescent="0.25">
      <c r="B283" s="364" t="s">
        <v>305</v>
      </c>
      <c r="C283" s="364" t="s">
        <v>315</v>
      </c>
      <c r="D283" s="364">
        <v>100</v>
      </c>
      <c r="E283" s="364" t="s">
        <v>650</v>
      </c>
      <c r="F283" s="364" t="s">
        <v>651</v>
      </c>
      <c r="G283" s="364" t="s">
        <v>1041</v>
      </c>
      <c r="H283" s="364" t="s">
        <v>316</v>
      </c>
      <c r="I283" s="364">
        <v>35</v>
      </c>
      <c r="J283" s="364">
        <v>83101</v>
      </c>
      <c r="K283" s="364">
        <v>1</v>
      </c>
      <c r="L283" s="364">
        <v>7</v>
      </c>
      <c r="M283" s="364">
        <v>4</v>
      </c>
      <c r="N283" s="364" t="s">
        <v>317</v>
      </c>
      <c r="O283" s="364">
        <v>0</v>
      </c>
      <c r="P283" s="364">
        <v>199</v>
      </c>
      <c r="Q283" s="364">
        <v>2</v>
      </c>
      <c r="R283" s="364"/>
      <c r="S283" s="364"/>
      <c r="T283" s="364"/>
      <c r="U283" s="364">
        <v>7268.31</v>
      </c>
      <c r="V283" s="364">
        <v>0</v>
      </c>
    </row>
    <row r="284" spans="2:22" x14ac:dyDescent="0.25">
      <c r="B284" s="364" t="s">
        <v>305</v>
      </c>
      <c r="C284" s="364" t="s">
        <v>315</v>
      </c>
      <c r="D284" s="364">
        <v>100</v>
      </c>
      <c r="E284" s="364" t="s">
        <v>391</v>
      </c>
      <c r="F284" s="364" t="s">
        <v>392</v>
      </c>
      <c r="G284" s="364" t="s">
        <v>952</v>
      </c>
      <c r="H284" s="364" t="s">
        <v>796</v>
      </c>
      <c r="I284" s="364">
        <v>35</v>
      </c>
      <c r="J284" s="364">
        <v>83101</v>
      </c>
      <c r="K284" s="364">
        <v>1</v>
      </c>
      <c r="L284" s="364">
        <v>7</v>
      </c>
      <c r="M284" s="364">
        <v>4</v>
      </c>
      <c r="N284" s="364" t="s">
        <v>765</v>
      </c>
      <c r="O284" s="364">
        <v>0</v>
      </c>
      <c r="P284" s="364">
        <v>20</v>
      </c>
      <c r="Q284" s="364">
        <v>2</v>
      </c>
      <c r="R284" s="364"/>
      <c r="S284" s="364"/>
      <c r="T284" s="364"/>
      <c r="U284" s="364">
        <v>6813.91</v>
      </c>
      <c r="V284" s="364">
        <v>0</v>
      </c>
    </row>
    <row r="285" spans="2:22" x14ac:dyDescent="0.25">
      <c r="B285" s="364" t="s">
        <v>305</v>
      </c>
      <c r="C285" s="364" t="s">
        <v>315</v>
      </c>
      <c r="D285" s="364">
        <v>100</v>
      </c>
      <c r="E285" s="364" t="s">
        <v>1676</v>
      </c>
      <c r="F285" s="364" t="s">
        <v>1677</v>
      </c>
      <c r="G285" s="364" t="s">
        <v>1678</v>
      </c>
      <c r="H285" s="364" t="s">
        <v>316</v>
      </c>
      <c r="I285" s="364">
        <v>35</v>
      </c>
      <c r="J285" s="364">
        <v>83101</v>
      </c>
      <c r="K285" s="364">
        <v>1</v>
      </c>
      <c r="L285" s="364">
        <v>7</v>
      </c>
      <c r="M285" s="364">
        <v>4</v>
      </c>
      <c r="N285" s="364" t="s">
        <v>317</v>
      </c>
      <c r="O285" s="364">
        <v>0</v>
      </c>
      <c r="P285" s="364">
        <v>200</v>
      </c>
      <c r="Q285" s="364">
        <v>2</v>
      </c>
      <c r="R285" s="364"/>
      <c r="S285" s="364"/>
      <c r="T285" s="364"/>
      <c r="U285" s="364">
        <v>6089.62</v>
      </c>
      <c r="V285" s="364">
        <v>0</v>
      </c>
    </row>
    <row r="286" spans="2:22" x14ac:dyDescent="0.25">
      <c r="B286" s="364" t="s">
        <v>305</v>
      </c>
      <c r="C286" s="364" t="s">
        <v>315</v>
      </c>
      <c r="D286" s="364">
        <v>100</v>
      </c>
      <c r="E286" s="364" t="s">
        <v>352</v>
      </c>
      <c r="F286" s="364" t="s">
        <v>353</v>
      </c>
      <c r="G286" s="364" t="s">
        <v>1067</v>
      </c>
      <c r="H286" s="364" t="s">
        <v>763</v>
      </c>
      <c r="I286" s="364">
        <v>35</v>
      </c>
      <c r="J286" s="364">
        <v>83101</v>
      </c>
      <c r="K286" s="364">
        <v>1</v>
      </c>
      <c r="L286" s="364">
        <v>7</v>
      </c>
      <c r="M286" s="364">
        <v>4</v>
      </c>
      <c r="N286" s="364" t="s">
        <v>764</v>
      </c>
      <c r="O286" s="364">
        <v>0</v>
      </c>
      <c r="P286" s="364">
        <v>201</v>
      </c>
      <c r="Q286" s="364">
        <v>2</v>
      </c>
      <c r="R286" s="364"/>
      <c r="S286" s="364"/>
      <c r="T286" s="364"/>
      <c r="U286" s="364">
        <v>5614.98</v>
      </c>
      <c r="V286" s="364">
        <v>0</v>
      </c>
    </row>
    <row r="287" spans="2:22" x14ac:dyDescent="0.25">
      <c r="B287" s="364" t="s">
        <v>305</v>
      </c>
      <c r="C287" s="364" t="s">
        <v>315</v>
      </c>
      <c r="D287" s="364">
        <v>100</v>
      </c>
      <c r="E287" s="364" t="s">
        <v>478</v>
      </c>
      <c r="F287" s="364" t="s">
        <v>479</v>
      </c>
      <c r="G287" s="364" t="s">
        <v>954</v>
      </c>
      <c r="H287" s="364" t="s">
        <v>316</v>
      </c>
      <c r="I287" s="364">
        <v>35</v>
      </c>
      <c r="J287" s="364">
        <v>83101</v>
      </c>
      <c r="K287" s="364">
        <v>1</v>
      </c>
      <c r="L287" s="364">
        <v>7</v>
      </c>
      <c r="M287" s="364">
        <v>4</v>
      </c>
      <c r="N287" s="364" t="s">
        <v>317</v>
      </c>
      <c r="O287" s="364">
        <v>0</v>
      </c>
      <c r="P287" s="364">
        <v>202</v>
      </c>
      <c r="Q287" s="364">
        <v>2</v>
      </c>
      <c r="R287" s="364"/>
      <c r="S287" s="364"/>
      <c r="T287" s="364"/>
      <c r="U287" s="364">
        <v>7851.78</v>
      </c>
      <c r="V287" s="364">
        <v>0</v>
      </c>
    </row>
    <row r="288" spans="2:22" x14ac:dyDescent="0.25">
      <c r="B288" s="364" t="s">
        <v>305</v>
      </c>
      <c r="C288" s="364" t="s">
        <v>315</v>
      </c>
      <c r="D288" s="364">
        <v>100</v>
      </c>
      <c r="E288" s="364" t="s">
        <v>533</v>
      </c>
      <c r="F288" s="364" t="s">
        <v>534</v>
      </c>
      <c r="G288" s="364" t="s">
        <v>1022</v>
      </c>
      <c r="H288" s="364" t="s">
        <v>316</v>
      </c>
      <c r="I288" s="364">
        <v>35</v>
      </c>
      <c r="J288" s="364">
        <v>83101</v>
      </c>
      <c r="K288" s="364">
        <v>1</v>
      </c>
      <c r="L288" s="364">
        <v>7</v>
      </c>
      <c r="M288" s="364">
        <v>4</v>
      </c>
      <c r="N288" s="364" t="s">
        <v>317</v>
      </c>
      <c r="O288" s="364">
        <v>0</v>
      </c>
      <c r="P288" s="364">
        <v>203</v>
      </c>
      <c r="Q288" s="364">
        <v>2</v>
      </c>
      <c r="R288" s="364"/>
      <c r="S288" s="364"/>
      <c r="T288" s="364"/>
      <c r="U288" s="364">
        <v>7523.58</v>
      </c>
      <c r="V288" s="364">
        <v>0</v>
      </c>
    </row>
    <row r="289" spans="2:22" x14ac:dyDescent="0.25">
      <c r="B289" s="364" t="s">
        <v>305</v>
      </c>
      <c r="C289" s="364" t="s">
        <v>315</v>
      </c>
      <c r="D289" s="364">
        <v>100</v>
      </c>
      <c r="E289" s="364" t="s">
        <v>574</v>
      </c>
      <c r="F289" s="364" t="s">
        <v>575</v>
      </c>
      <c r="G289" s="364" t="s">
        <v>1063</v>
      </c>
      <c r="H289" s="364" t="s">
        <v>316</v>
      </c>
      <c r="I289" s="364">
        <v>35</v>
      </c>
      <c r="J289" s="364">
        <v>83101</v>
      </c>
      <c r="K289" s="364">
        <v>1</v>
      </c>
      <c r="L289" s="364">
        <v>7</v>
      </c>
      <c r="M289" s="364">
        <v>4</v>
      </c>
      <c r="N289" s="364" t="s">
        <v>317</v>
      </c>
      <c r="O289" s="364">
        <v>0</v>
      </c>
      <c r="P289" s="364">
        <v>204</v>
      </c>
      <c r="Q289" s="364">
        <v>2</v>
      </c>
      <c r="R289" s="364"/>
      <c r="S289" s="364"/>
      <c r="T289" s="364"/>
      <c r="U289" s="364">
        <v>6235.49</v>
      </c>
      <c r="V289" s="364">
        <v>0</v>
      </c>
    </row>
    <row r="290" spans="2:22" x14ac:dyDescent="0.25">
      <c r="B290" s="364" t="s">
        <v>305</v>
      </c>
      <c r="C290" s="364" t="s">
        <v>315</v>
      </c>
      <c r="D290" s="364">
        <v>100</v>
      </c>
      <c r="E290" s="364" t="s">
        <v>525</v>
      </c>
      <c r="F290" s="364" t="s">
        <v>526</v>
      </c>
      <c r="G290" s="364" t="s">
        <v>1025</v>
      </c>
      <c r="H290" s="364" t="s">
        <v>316</v>
      </c>
      <c r="I290" s="364">
        <v>35</v>
      </c>
      <c r="J290" s="364">
        <v>83101</v>
      </c>
      <c r="K290" s="364">
        <v>1</v>
      </c>
      <c r="L290" s="364">
        <v>7</v>
      </c>
      <c r="M290" s="364">
        <v>4</v>
      </c>
      <c r="N290" s="364" t="s">
        <v>317</v>
      </c>
      <c r="O290" s="364">
        <v>0</v>
      </c>
      <c r="P290" s="364">
        <v>205</v>
      </c>
      <c r="Q290" s="364">
        <v>2</v>
      </c>
      <c r="R290" s="364"/>
      <c r="S290" s="364"/>
      <c r="T290" s="364"/>
      <c r="U290" s="364">
        <v>7523.58</v>
      </c>
      <c r="V290" s="364">
        <v>0</v>
      </c>
    </row>
    <row r="291" spans="2:22" x14ac:dyDescent="0.25">
      <c r="B291" s="364" t="s">
        <v>305</v>
      </c>
      <c r="C291" s="364" t="s">
        <v>315</v>
      </c>
      <c r="D291" s="364">
        <v>100</v>
      </c>
      <c r="E291" s="364" t="s">
        <v>612</v>
      </c>
      <c r="F291" s="364" t="s">
        <v>613</v>
      </c>
      <c r="G291" s="364" t="s">
        <v>1085</v>
      </c>
      <c r="H291" s="364" t="s">
        <v>316</v>
      </c>
      <c r="I291" s="364">
        <v>35</v>
      </c>
      <c r="J291" s="364">
        <v>83101</v>
      </c>
      <c r="K291" s="364">
        <v>1</v>
      </c>
      <c r="L291" s="364">
        <v>7</v>
      </c>
      <c r="M291" s="364">
        <v>4</v>
      </c>
      <c r="N291" s="364" t="s">
        <v>317</v>
      </c>
      <c r="O291" s="364">
        <v>0</v>
      </c>
      <c r="P291" s="364">
        <v>206</v>
      </c>
      <c r="Q291" s="364">
        <v>2</v>
      </c>
      <c r="R291" s="364"/>
      <c r="S291" s="364"/>
      <c r="T291" s="364"/>
      <c r="U291" s="364">
        <v>6089.62</v>
      </c>
      <c r="V291" s="364">
        <v>0</v>
      </c>
    </row>
    <row r="292" spans="2:22" x14ac:dyDescent="0.25">
      <c r="B292" s="364" t="s">
        <v>305</v>
      </c>
      <c r="C292" s="364" t="s">
        <v>315</v>
      </c>
      <c r="D292" s="364">
        <v>100</v>
      </c>
      <c r="E292" s="364" t="s">
        <v>644</v>
      </c>
      <c r="F292" s="364" t="s">
        <v>645</v>
      </c>
      <c r="G292" s="364" t="s">
        <v>1378</v>
      </c>
      <c r="H292" s="364" t="s">
        <v>316</v>
      </c>
      <c r="I292" s="364">
        <v>35</v>
      </c>
      <c r="J292" s="364">
        <v>83101</v>
      </c>
      <c r="K292" s="364">
        <v>1</v>
      </c>
      <c r="L292" s="364">
        <v>7</v>
      </c>
      <c r="M292" s="364">
        <v>4</v>
      </c>
      <c r="N292" s="364" t="s">
        <v>317</v>
      </c>
      <c r="O292" s="364">
        <v>0</v>
      </c>
      <c r="P292" s="364">
        <v>207</v>
      </c>
      <c r="Q292" s="364">
        <v>2</v>
      </c>
      <c r="R292" s="364"/>
      <c r="S292" s="364"/>
      <c r="T292" s="364"/>
      <c r="U292" s="364">
        <v>6946.59</v>
      </c>
      <c r="V292" s="364">
        <v>0</v>
      </c>
    </row>
    <row r="293" spans="2:22" x14ac:dyDescent="0.25">
      <c r="B293" s="364" t="s">
        <v>305</v>
      </c>
      <c r="C293" s="364" t="s">
        <v>315</v>
      </c>
      <c r="D293" s="364">
        <v>100</v>
      </c>
      <c r="E293" s="364" t="s">
        <v>628</v>
      </c>
      <c r="F293" s="364" t="s">
        <v>629</v>
      </c>
      <c r="G293" s="364" t="s">
        <v>1082</v>
      </c>
      <c r="H293" s="364" t="s">
        <v>316</v>
      </c>
      <c r="I293" s="364">
        <v>35</v>
      </c>
      <c r="J293" s="364">
        <v>83101</v>
      </c>
      <c r="K293" s="364">
        <v>1</v>
      </c>
      <c r="L293" s="364">
        <v>7</v>
      </c>
      <c r="M293" s="364">
        <v>4</v>
      </c>
      <c r="N293" s="364" t="s">
        <v>317</v>
      </c>
      <c r="O293" s="364">
        <v>0</v>
      </c>
      <c r="P293" s="364">
        <v>208</v>
      </c>
      <c r="Q293" s="364">
        <v>2</v>
      </c>
      <c r="R293" s="364"/>
      <c r="S293" s="364"/>
      <c r="T293" s="364"/>
      <c r="U293" s="364">
        <v>6508.99</v>
      </c>
      <c r="V293" s="364">
        <v>0</v>
      </c>
    </row>
    <row r="294" spans="2:22" x14ac:dyDescent="0.25">
      <c r="B294" s="364" t="s">
        <v>305</v>
      </c>
      <c r="C294" s="364" t="s">
        <v>315</v>
      </c>
      <c r="D294" s="364">
        <v>100</v>
      </c>
      <c r="E294" s="364" t="s">
        <v>482</v>
      </c>
      <c r="F294" s="364" t="s">
        <v>483</v>
      </c>
      <c r="G294" s="364" t="s">
        <v>955</v>
      </c>
      <c r="H294" s="364" t="s">
        <v>316</v>
      </c>
      <c r="I294" s="364">
        <v>35</v>
      </c>
      <c r="J294" s="364">
        <v>83101</v>
      </c>
      <c r="K294" s="364">
        <v>1</v>
      </c>
      <c r="L294" s="364">
        <v>7</v>
      </c>
      <c r="M294" s="364">
        <v>4</v>
      </c>
      <c r="N294" s="364" t="s">
        <v>317</v>
      </c>
      <c r="O294" s="364">
        <v>0</v>
      </c>
      <c r="P294" s="364">
        <v>209</v>
      </c>
      <c r="Q294" s="364">
        <v>2</v>
      </c>
      <c r="R294" s="364"/>
      <c r="S294" s="364"/>
      <c r="T294" s="364"/>
      <c r="U294" s="364">
        <v>7851.78</v>
      </c>
      <c r="V294" s="364">
        <v>0</v>
      </c>
    </row>
    <row r="295" spans="2:22" x14ac:dyDescent="0.25">
      <c r="B295" s="364" t="s">
        <v>305</v>
      </c>
      <c r="C295" s="364" t="s">
        <v>315</v>
      </c>
      <c r="D295" s="364">
        <v>100</v>
      </c>
      <c r="E295" s="364" t="s">
        <v>802</v>
      </c>
      <c r="F295" s="364" t="s">
        <v>803</v>
      </c>
      <c r="G295" s="364" t="s">
        <v>1144</v>
      </c>
      <c r="H295" s="364" t="s">
        <v>768</v>
      </c>
      <c r="I295" s="364">
        <v>35</v>
      </c>
      <c r="J295" s="364">
        <v>83101</v>
      </c>
      <c r="K295" s="364">
        <v>1</v>
      </c>
      <c r="L295" s="364">
        <v>7</v>
      </c>
      <c r="M295" s="364">
        <v>4</v>
      </c>
      <c r="N295" s="364" t="s">
        <v>769</v>
      </c>
      <c r="O295" s="364">
        <v>0</v>
      </c>
      <c r="P295" s="364">
        <v>21</v>
      </c>
      <c r="Q295" s="364">
        <v>2</v>
      </c>
      <c r="R295" s="364"/>
      <c r="S295" s="364"/>
      <c r="T295" s="364"/>
      <c r="U295" s="364">
        <v>8119.97</v>
      </c>
      <c r="V295" s="364">
        <v>0</v>
      </c>
    </row>
    <row r="296" spans="2:22" x14ac:dyDescent="0.25">
      <c r="B296" s="364" t="s">
        <v>305</v>
      </c>
      <c r="C296" s="364" t="s">
        <v>315</v>
      </c>
      <c r="D296" s="364">
        <v>100</v>
      </c>
      <c r="E296" s="364" t="s">
        <v>563</v>
      </c>
      <c r="F296" s="364" t="s">
        <v>564</v>
      </c>
      <c r="G296" s="364" t="s">
        <v>1060</v>
      </c>
      <c r="H296" s="364" t="s">
        <v>316</v>
      </c>
      <c r="I296" s="364">
        <v>35</v>
      </c>
      <c r="J296" s="364">
        <v>83101</v>
      </c>
      <c r="K296" s="364">
        <v>1</v>
      </c>
      <c r="L296" s="364">
        <v>7</v>
      </c>
      <c r="M296" s="364">
        <v>4</v>
      </c>
      <c r="N296" s="364" t="s">
        <v>317</v>
      </c>
      <c r="O296" s="364">
        <v>0</v>
      </c>
      <c r="P296" s="364">
        <v>210</v>
      </c>
      <c r="Q296" s="364">
        <v>2</v>
      </c>
      <c r="R296" s="364"/>
      <c r="S296" s="364"/>
      <c r="T296" s="364"/>
      <c r="U296" s="364">
        <v>7122.45</v>
      </c>
      <c r="V296" s="364">
        <v>0</v>
      </c>
    </row>
    <row r="297" spans="2:22" x14ac:dyDescent="0.25">
      <c r="B297" s="364" t="s">
        <v>305</v>
      </c>
      <c r="C297" s="364" t="s">
        <v>315</v>
      </c>
      <c r="D297" s="364">
        <v>100</v>
      </c>
      <c r="E297" s="364" t="s">
        <v>334</v>
      </c>
      <c r="F297" s="364" t="s">
        <v>335</v>
      </c>
      <c r="G297" s="364" t="s">
        <v>1388</v>
      </c>
      <c r="H297" s="364" t="s">
        <v>1380</v>
      </c>
      <c r="I297" s="364">
        <v>35</v>
      </c>
      <c r="J297" s="364">
        <v>83101</v>
      </c>
      <c r="K297" s="364">
        <v>1</v>
      </c>
      <c r="L297" s="364">
        <v>7</v>
      </c>
      <c r="M297" s="364">
        <v>4</v>
      </c>
      <c r="N297" s="364" t="s">
        <v>762</v>
      </c>
      <c r="O297" s="364">
        <v>0</v>
      </c>
      <c r="P297" s="364">
        <v>211</v>
      </c>
      <c r="Q297" s="364">
        <v>2</v>
      </c>
      <c r="R297" s="364"/>
      <c r="S297" s="364"/>
      <c r="T297" s="364"/>
      <c r="U297" s="364">
        <v>5815.42</v>
      </c>
      <c r="V297" s="364">
        <v>0</v>
      </c>
    </row>
    <row r="298" spans="2:22" x14ac:dyDescent="0.25">
      <c r="B298" s="364" t="s">
        <v>305</v>
      </c>
      <c r="C298" s="364" t="s">
        <v>315</v>
      </c>
      <c r="D298" s="364">
        <v>100</v>
      </c>
      <c r="E298" s="364" t="s">
        <v>1181</v>
      </c>
      <c r="F298" s="364" t="s">
        <v>1182</v>
      </c>
      <c r="G298" s="364" t="s">
        <v>1183</v>
      </c>
      <c r="H298" s="364" t="s">
        <v>316</v>
      </c>
      <c r="I298" s="364">
        <v>35</v>
      </c>
      <c r="J298" s="364">
        <v>83101</v>
      </c>
      <c r="K298" s="364">
        <v>1</v>
      </c>
      <c r="L298" s="364">
        <v>7</v>
      </c>
      <c r="M298" s="364">
        <v>4</v>
      </c>
      <c r="N298" s="364" t="s">
        <v>317</v>
      </c>
      <c r="O298" s="364">
        <v>0</v>
      </c>
      <c r="P298" s="364">
        <v>212</v>
      </c>
      <c r="Q298" s="364">
        <v>2</v>
      </c>
      <c r="R298" s="364"/>
      <c r="S298" s="364"/>
      <c r="T298" s="364"/>
      <c r="U298" s="364">
        <v>6089.62</v>
      </c>
      <c r="V298" s="364">
        <v>0</v>
      </c>
    </row>
    <row r="299" spans="2:22" x14ac:dyDescent="0.25">
      <c r="B299" s="364" t="s">
        <v>305</v>
      </c>
      <c r="C299" s="364" t="s">
        <v>315</v>
      </c>
      <c r="D299" s="364">
        <v>100</v>
      </c>
      <c r="E299" s="364" t="s">
        <v>638</v>
      </c>
      <c r="F299" s="364" t="s">
        <v>639</v>
      </c>
      <c r="G299" s="364" t="s">
        <v>997</v>
      </c>
      <c r="H299" s="364" t="s">
        <v>316</v>
      </c>
      <c r="I299" s="364">
        <v>35</v>
      </c>
      <c r="J299" s="364">
        <v>83101</v>
      </c>
      <c r="K299" s="364">
        <v>1</v>
      </c>
      <c r="L299" s="364">
        <v>7</v>
      </c>
      <c r="M299" s="364">
        <v>4</v>
      </c>
      <c r="N299" s="364" t="s">
        <v>317</v>
      </c>
      <c r="O299" s="364">
        <v>0</v>
      </c>
      <c r="P299" s="364">
        <v>213</v>
      </c>
      <c r="Q299" s="364">
        <v>2</v>
      </c>
      <c r="R299" s="364"/>
      <c r="S299" s="364"/>
      <c r="T299" s="364"/>
      <c r="U299" s="364">
        <v>7596.51</v>
      </c>
      <c r="V299" s="364">
        <v>0</v>
      </c>
    </row>
    <row r="300" spans="2:22" x14ac:dyDescent="0.25">
      <c r="B300" s="364" t="s">
        <v>305</v>
      </c>
      <c r="C300" s="364" t="s">
        <v>315</v>
      </c>
      <c r="D300" s="364">
        <v>100</v>
      </c>
      <c r="E300" s="364" t="s">
        <v>604</v>
      </c>
      <c r="F300" s="364" t="s">
        <v>605</v>
      </c>
      <c r="G300" s="364" t="s">
        <v>1053</v>
      </c>
      <c r="H300" s="364" t="s">
        <v>316</v>
      </c>
      <c r="I300" s="364">
        <v>35</v>
      </c>
      <c r="J300" s="364">
        <v>83101</v>
      </c>
      <c r="K300" s="364">
        <v>1</v>
      </c>
      <c r="L300" s="364">
        <v>7</v>
      </c>
      <c r="M300" s="364">
        <v>4</v>
      </c>
      <c r="N300" s="364" t="s">
        <v>317</v>
      </c>
      <c r="O300" s="364">
        <v>0</v>
      </c>
      <c r="P300" s="364">
        <v>214</v>
      </c>
      <c r="Q300" s="364">
        <v>2</v>
      </c>
      <c r="R300" s="364"/>
      <c r="S300" s="364"/>
      <c r="T300" s="364"/>
      <c r="U300" s="364">
        <v>7195.38</v>
      </c>
      <c r="V300" s="364">
        <v>0</v>
      </c>
    </row>
    <row r="301" spans="2:22" x14ac:dyDescent="0.25">
      <c r="B301" s="364" t="s">
        <v>305</v>
      </c>
      <c r="C301" s="364" t="s">
        <v>315</v>
      </c>
      <c r="D301" s="364">
        <v>100</v>
      </c>
      <c r="E301" s="364" t="s">
        <v>517</v>
      </c>
      <c r="F301" s="364" t="s">
        <v>518</v>
      </c>
      <c r="G301" s="364" t="s">
        <v>1028</v>
      </c>
      <c r="H301" s="364" t="s">
        <v>316</v>
      </c>
      <c r="I301" s="364">
        <v>35</v>
      </c>
      <c r="J301" s="364">
        <v>83101</v>
      </c>
      <c r="K301" s="364">
        <v>1</v>
      </c>
      <c r="L301" s="364">
        <v>7</v>
      </c>
      <c r="M301" s="364">
        <v>4</v>
      </c>
      <c r="N301" s="364" t="s">
        <v>317</v>
      </c>
      <c r="O301" s="364">
        <v>0</v>
      </c>
      <c r="P301" s="364">
        <v>215</v>
      </c>
      <c r="Q301" s="364">
        <v>2</v>
      </c>
      <c r="R301" s="364"/>
      <c r="S301" s="364"/>
      <c r="T301" s="364"/>
      <c r="U301" s="364">
        <v>7487.11</v>
      </c>
      <c r="V301" s="364">
        <v>0</v>
      </c>
    </row>
    <row r="302" spans="2:22" x14ac:dyDescent="0.25">
      <c r="B302" s="364" t="s">
        <v>305</v>
      </c>
      <c r="C302" s="364" t="s">
        <v>315</v>
      </c>
      <c r="D302" s="364">
        <v>100</v>
      </c>
      <c r="E302" s="364" t="s">
        <v>484</v>
      </c>
      <c r="F302" s="364" t="s">
        <v>485</v>
      </c>
      <c r="G302" s="364" t="s">
        <v>915</v>
      </c>
      <c r="H302" s="364" t="s">
        <v>316</v>
      </c>
      <c r="I302" s="364">
        <v>35</v>
      </c>
      <c r="J302" s="364">
        <v>83101</v>
      </c>
      <c r="K302" s="364">
        <v>1</v>
      </c>
      <c r="L302" s="364">
        <v>7</v>
      </c>
      <c r="M302" s="364">
        <v>4</v>
      </c>
      <c r="N302" s="364" t="s">
        <v>317</v>
      </c>
      <c r="O302" s="364">
        <v>0</v>
      </c>
      <c r="P302" s="364">
        <v>216</v>
      </c>
      <c r="Q302" s="364">
        <v>2</v>
      </c>
      <c r="R302" s="364"/>
      <c r="S302" s="364"/>
      <c r="T302" s="364"/>
      <c r="U302" s="364">
        <v>8608.3799999999992</v>
      </c>
      <c r="V302" s="364">
        <v>0</v>
      </c>
    </row>
    <row r="303" spans="2:22" x14ac:dyDescent="0.25">
      <c r="B303" s="364" t="s">
        <v>305</v>
      </c>
      <c r="C303" s="364" t="s">
        <v>315</v>
      </c>
      <c r="D303" s="364">
        <v>100</v>
      </c>
      <c r="E303" s="364" t="s">
        <v>1607</v>
      </c>
      <c r="F303" s="364" t="s">
        <v>1608</v>
      </c>
      <c r="G303" s="364" t="s">
        <v>1609</v>
      </c>
      <c r="H303" s="364" t="s">
        <v>316</v>
      </c>
      <c r="I303" s="364">
        <v>35</v>
      </c>
      <c r="J303" s="364">
        <v>83101</v>
      </c>
      <c r="K303" s="364">
        <v>1</v>
      </c>
      <c r="L303" s="364">
        <v>7</v>
      </c>
      <c r="M303" s="364">
        <v>4</v>
      </c>
      <c r="N303" s="364" t="s">
        <v>317</v>
      </c>
      <c r="O303" s="364">
        <v>0</v>
      </c>
      <c r="P303" s="364">
        <v>217</v>
      </c>
      <c r="Q303" s="364">
        <v>2</v>
      </c>
      <c r="R303" s="364"/>
      <c r="S303" s="364"/>
      <c r="T303" s="364"/>
      <c r="U303" s="364">
        <v>6089.62</v>
      </c>
      <c r="V303" s="364">
        <v>0</v>
      </c>
    </row>
    <row r="304" spans="2:22" x14ac:dyDescent="0.25">
      <c r="B304" s="364" t="s">
        <v>305</v>
      </c>
      <c r="C304" s="364" t="s">
        <v>315</v>
      </c>
      <c r="D304" s="364">
        <v>100</v>
      </c>
      <c r="E304" s="364" t="s">
        <v>502</v>
      </c>
      <c r="F304" s="364" t="s">
        <v>503</v>
      </c>
      <c r="G304" s="364" t="s">
        <v>1077</v>
      </c>
      <c r="H304" s="364" t="s">
        <v>316</v>
      </c>
      <c r="I304" s="364">
        <v>35</v>
      </c>
      <c r="J304" s="364">
        <v>83101</v>
      </c>
      <c r="K304" s="364">
        <v>1</v>
      </c>
      <c r="L304" s="364">
        <v>7</v>
      </c>
      <c r="M304" s="364">
        <v>4</v>
      </c>
      <c r="N304" s="364" t="s">
        <v>317</v>
      </c>
      <c r="O304" s="364">
        <v>0</v>
      </c>
      <c r="P304" s="364">
        <v>218</v>
      </c>
      <c r="Q304" s="364">
        <v>2</v>
      </c>
      <c r="R304" s="364"/>
      <c r="S304" s="364"/>
      <c r="T304" s="364"/>
      <c r="U304" s="364">
        <v>6508.99</v>
      </c>
      <c r="V304" s="364">
        <v>0</v>
      </c>
    </row>
    <row r="305" spans="2:22" x14ac:dyDescent="0.25">
      <c r="B305" s="364" t="s">
        <v>305</v>
      </c>
      <c r="C305" s="364" t="s">
        <v>315</v>
      </c>
      <c r="D305" s="364">
        <v>100</v>
      </c>
      <c r="E305" s="364" t="s">
        <v>646</v>
      </c>
      <c r="F305" s="364" t="s">
        <v>647</v>
      </c>
      <c r="G305" s="364" t="s">
        <v>1034</v>
      </c>
      <c r="H305" s="364" t="s">
        <v>316</v>
      </c>
      <c r="I305" s="364">
        <v>35</v>
      </c>
      <c r="J305" s="364">
        <v>83101</v>
      </c>
      <c r="K305" s="364">
        <v>1</v>
      </c>
      <c r="L305" s="364">
        <v>7</v>
      </c>
      <c r="M305" s="364">
        <v>4</v>
      </c>
      <c r="N305" s="364" t="s">
        <v>317</v>
      </c>
      <c r="O305" s="364">
        <v>0</v>
      </c>
      <c r="P305" s="364">
        <v>219</v>
      </c>
      <c r="Q305" s="364">
        <v>2</v>
      </c>
      <c r="R305" s="364"/>
      <c r="S305" s="364"/>
      <c r="T305" s="364"/>
      <c r="U305" s="364">
        <v>7414.18</v>
      </c>
      <c r="V305" s="364">
        <v>0</v>
      </c>
    </row>
    <row r="306" spans="2:22" x14ac:dyDescent="0.25">
      <c r="B306" s="364" t="s">
        <v>305</v>
      </c>
      <c r="C306" s="364" t="s">
        <v>315</v>
      </c>
      <c r="D306" s="364">
        <v>100</v>
      </c>
      <c r="E306" s="364" t="s">
        <v>804</v>
      </c>
      <c r="F306" s="364" t="s">
        <v>805</v>
      </c>
      <c r="G306" s="364" t="s">
        <v>1129</v>
      </c>
      <c r="H306" s="364" t="s">
        <v>763</v>
      </c>
      <c r="I306" s="364">
        <v>35</v>
      </c>
      <c r="J306" s="364">
        <v>83101</v>
      </c>
      <c r="K306" s="364">
        <v>1</v>
      </c>
      <c r="L306" s="364">
        <v>7</v>
      </c>
      <c r="M306" s="364">
        <v>6</v>
      </c>
      <c r="N306" s="364" t="s">
        <v>764</v>
      </c>
      <c r="O306" s="364">
        <v>0</v>
      </c>
      <c r="P306" s="364">
        <v>22</v>
      </c>
      <c r="Q306" s="364">
        <v>2</v>
      </c>
      <c r="R306" s="364"/>
      <c r="S306" s="364"/>
      <c r="T306" s="364"/>
      <c r="U306" s="364">
        <v>7487.17</v>
      </c>
      <c r="V306" s="364">
        <v>0</v>
      </c>
    </row>
    <row r="307" spans="2:22" x14ac:dyDescent="0.25">
      <c r="B307" s="364" t="s">
        <v>305</v>
      </c>
      <c r="C307" s="364" t="s">
        <v>315</v>
      </c>
      <c r="D307" s="364">
        <v>100</v>
      </c>
      <c r="E307" s="364" t="s">
        <v>368</v>
      </c>
      <c r="F307" s="364" t="s">
        <v>369</v>
      </c>
      <c r="G307" s="364" t="s">
        <v>1071</v>
      </c>
      <c r="H307" s="364" t="s">
        <v>796</v>
      </c>
      <c r="I307" s="364">
        <v>35</v>
      </c>
      <c r="J307" s="364">
        <v>83101</v>
      </c>
      <c r="K307" s="364">
        <v>1</v>
      </c>
      <c r="L307" s="364">
        <v>7</v>
      </c>
      <c r="M307" s="364">
        <v>4</v>
      </c>
      <c r="N307" s="364" t="s">
        <v>765</v>
      </c>
      <c r="O307" s="364">
        <v>0</v>
      </c>
      <c r="P307" s="364">
        <v>220</v>
      </c>
      <c r="Q307" s="364">
        <v>2</v>
      </c>
      <c r="R307" s="364"/>
      <c r="S307" s="364"/>
      <c r="T307" s="364"/>
      <c r="U307" s="364">
        <v>5745.22</v>
      </c>
      <c r="V307" s="364">
        <v>0</v>
      </c>
    </row>
    <row r="308" spans="2:22" x14ac:dyDescent="0.25">
      <c r="B308" s="364" t="s">
        <v>305</v>
      </c>
      <c r="C308" s="364" t="s">
        <v>315</v>
      </c>
      <c r="D308" s="364">
        <v>100</v>
      </c>
      <c r="E308" s="364" t="s">
        <v>442</v>
      </c>
      <c r="F308" s="364" t="s">
        <v>443</v>
      </c>
      <c r="G308" s="364" t="s">
        <v>1049</v>
      </c>
      <c r="H308" s="364" t="s">
        <v>760</v>
      </c>
      <c r="I308" s="364">
        <v>35</v>
      </c>
      <c r="J308" s="364">
        <v>83101</v>
      </c>
      <c r="K308" s="364">
        <v>1</v>
      </c>
      <c r="L308" s="364">
        <v>7</v>
      </c>
      <c r="M308" s="364">
        <v>4</v>
      </c>
      <c r="N308" s="364" t="s">
        <v>761</v>
      </c>
      <c r="O308" s="364">
        <v>0</v>
      </c>
      <c r="P308" s="364">
        <v>221</v>
      </c>
      <c r="Q308" s="364">
        <v>2</v>
      </c>
      <c r="R308" s="364"/>
      <c r="S308" s="364"/>
      <c r="T308" s="364"/>
      <c r="U308" s="364">
        <v>6157.38</v>
      </c>
      <c r="V308" s="364">
        <v>0</v>
      </c>
    </row>
    <row r="309" spans="2:22" x14ac:dyDescent="0.25">
      <c r="B309" s="364" t="s">
        <v>305</v>
      </c>
      <c r="C309" s="364" t="s">
        <v>315</v>
      </c>
      <c r="D309" s="364">
        <v>100</v>
      </c>
      <c r="E309" s="364" t="s">
        <v>555</v>
      </c>
      <c r="F309" s="364" t="s">
        <v>556</v>
      </c>
      <c r="G309" s="364" t="s">
        <v>957</v>
      </c>
      <c r="H309" s="364" t="s">
        <v>316</v>
      </c>
      <c r="I309" s="364">
        <v>35</v>
      </c>
      <c r="J309" s="364">
        <v>83101</v>
      </c>
      <c r="K309" s="364">
        <v>1</v>
      </c>
      <c r="L309" s="364">
        <v>7</v>
      </c>
      <c r="M309" s="364">
        <v>4</v>
      </c>
      <c r="N309" s="364" t="s">
        <v>317</v>
      </c>
      <c r="O309" s="364">
        <v>0</v>
      </c>
      <c r="P309" s="364">
        <v>222</v>
      </c>
      <c r="Q309" s="364">
        <v>2</v>
      </c>
      <c r="R309" s="364"/>
      <c r="S309" s="364"/>
      <c r="T309" s="364"/>
      <c r="U309" s="364">
        <v>7778.85</v>
      </c>
      <c r="V309" s="364">
        <v>0</v>
      </c>
    </row>
    <row r="310" spans="2:22" x14ac:dyDescent="0.25">
      <c r="B310" s="364" t="s">
        <v>305</v>
      </c>
      <c r="C310" s="364" t="s">
        <v>315</v>
      </c>
      <c r="D310" s="364">
        <v>100</v>
      </c>
      <c r="E310" s="364" t="s">
        <v>551</v>
      </c>
      <c r="F310" s="364" t="s">
        <v>552</v>
      </c>
      <c r="G310" s="364" t="s">
        <v>958</v>
      </c>
      <c r="H310" s="364" t="s">
        <v>316</v>
      </c>
      <c r="I310" s="364">
        <v>35</v>
      </c>
      <c r="J310" s="364">
        <v>83101</v>
      </c>
      <c r="K310" s="364">
        <v>1</v>
      </c>
      <c r="L310" s="364">
        <v>7</v>
      </c>
      <c r="M310" s="364">
        <v>4</v>
      </c>
      <c r="N310" s="364" t="s">
        <v>317</v>
      </c>
      <c r="O310" s="364">
        <v>0</v>
      </c>
      <c r="P310" s="364">
        <v>223</v>
      </c>
      <c r="Q310" s="364">
        <v>2</v>
      </c>
      <c r="R310" s="364"/>
      <c r="S310" s="364"/>
      <c r="T310" s="364"/>
      <c r="U310" s="364">
        <v>7778.85</v>
      </c>
      <c r="V310" s="364">
        <v>0</v>
      </c>
    </row>
    <row r="311" spans="2:22" x14ac:dyDescent="0.25">
      <c r="B311" s="364" t="s">
        <v>305</v>
      </c>
      <c r="C311" s="364" t="s">
        <v>315</v>
      </c>
      <c r="D311" s="364">
        <v>100</v>
      </c>
      <c r="E311" s="364" t="s">
        <v>549</v>
      </c>
      <c r="F311" s="364" t="s">
        <v>550</v>
      </c>
      <c r="G311" s="364" t="s">
        <v>1065</v>
      </c>
      <c r="H311" s="364" t="s">
        <v>316</v>
      </c>
      <c r="I311" s="364">
        <v>35</v>
      </c>
      <c r="J311" s="364">
        <v>83101</v>
      </c>
      <c r="K311" s="364">
        <v>1</v>
      </c>
      <c r="L311" s="364">
        <v>7</v>
      </c>
      <c r="M311" s="364">
        <v>4</v>
      </c>
      <c r="N311" s="364" t="s">
        <v>317</v>
      </c>
      <c r="O311" s="364">
        <v>0</v>
      </c>
      <c r="P311" s="364">
        <v>224</v>
      </c>
      <c r="Q311" s="364">
        <v>2</v>
      </c>
      <c r="R311" s="364"/>
      <c r="S311" s="364"/>
      <c r="T311" s="364"/>
      <c r="U311" s="364">
        <v>6879.42</v>
      </c>
      <c r="V311" s="364">
        <v>0</v>
      </c>
    </row>
    <row r="312" spans="2:22" x14ac:dyDescent="0.25">
      <c r="B312" s="364" t="s">
        <v>305</v>
      </c>
      <c r="C312" s="364" t="s">
        <v>315</v>
      </c>
      <c r="D312" s="364">
        <v>100</v>
      </c>
      <c r="E312" s="364" t="s">
        <v>543</v>
      </c>
      <c r="F312" s="364" t="s">
        <v>544</v>
      </c>
      <c r="G312" s="364" t="s">
        <v>1374</v>
      </c>
      <c r="H312" s="364" t="s">
        <v>316</v>
      </c>
      <c r="I312" s="364">
        <v>35</v>
      </c>
      <c r="J312" s="364">
        <v>83101</v>
      </c>
      <c r="K312" s="364">
        <v>1</v>
      </c>
      <c r="L312" s="364">
        <v>7</v>
      </c>
      <c r="M312" s="364">
        <v>4</v>
      </c>
      <c r="N312" s="364" t="s">
        <v>317</v>
      </c>
      <c r="O312" s="364">
        <v>0</v>
      </c>
      <c r="P312" s="364">
        <v>225</v>
      </c>
      <c r="Q312" s="364">
        <v>2</v>
      </c>
      <c r="R312" s="364"/>
      <c r="S312" s="364"/>
      <c r="T312" s="364"/>
      <c r="U312" s="364">
        <v>7778.85</v>
      </c>
      <c r="V312" s="364">
        <v>0</v>
      </c>
    </row>
    <row r="313" spans="2:22" x14ac:dyDescent="0.25">
      <c r="B313" s="364" t="s">
        <v>305</v>
      </c>
      <c r="C313" s="364" t="s">
        <v>315</v>
      </c>
      <c r="D313" s="364">
        <v>100</v>
      </c>
      <c r="E313" s="364" t="s">
        <v>1631</v>
      </c>
      <c r="F313" s="364" t="s">
        <v>1632</v>
      </c>
      <c r="G313" s="364" t="s">
        <v>1633</v>
      </c>
      <c r="H313" s="364" t="s">
        <v>316</v>
      </c>
      <c r="I313" s="364">
        <v>35</v>
      </c>
      <c r="J313" s="364">
        <v>83101</v>
      </c>
      <c r="K313" s="364">
        <v>1</v>
      </c>
      <c r="L313" s="364">
        <v>7</v>
      </c>
      <c r="M313" s="364">
        <v>4</v>
      </c>
      <c r="N313" s="364" t="s">
        <v>317</v>
      </c>
      <c r="O313" s="364">
        <v>0</v>
      </c>
      <c r="P313" s="364">
        <v>226</v>
      </c>
      <c r="Q313" s="364">
        <v>2</v>
      </c>
      <c r="R313" s="364"/>
      <c r="S313" s="364"/>
      <c r="T313" s="364"/>
      <c r="U313" s="364">
        <v>6089.62</v>
      </c>
      <c r="V313" s="364">
        <v>0</v>
      </c>
    </row>
    <row r="314" spans="2:22" x14ac:dyDescent="0.25">
      <c r="B314" s="364" t="s">
        <v>305</v>
      </c>
      <c r="C314" s="364" t="s">
        <v>315</v>
      </c>
      <c r="D314" s="364">
        <v>100</v>
      </c>
      <c r="E314" s="364" t="s">
        <v>618</v>
      </c>
      <c r="F314" s="364" t="s">
        <v>619</v>
      </c>
      <c r="G314" s="364" t="s">
        <v>992</v>
      </c>
      <c r="H314" s="364" t="s">
        <v>316</v>
      </c>
      <c r="I314" s="364">
        <v>35</v>
      </c>
      <c r="J314" s="364">
        <v>83101</v>
      </c>
      <c r="K314" s="364">
        <v>1</v>
      </c>
      <c r="L314" s="364">
        <v>7</v>
      </c>
      <c r="M314" s="364">
        <v>4</v>
      </c>
      <c r="N314" s="364" t="s">
        <v>317</v>
      </c>
      <c r="O314" s="364">
        <v>0</v>
      </c>
      <c r="P314" s="364">
        <v>227</v>
      </c>
      <c r="Q314" s="364">
        <v>2</v>
      </c>
      <c r="R314" s="364"/>
      <c r="S314" s="364"/>
      <c r="T314" s="364"/>
      <c r="U314" s="364">
        <v>7632.98</v>
      </c>
      <c r="V314" s="364">
        <v>0</v>
      </c>
    </row>
    <row r="315" spans="2:22" x14ac:dyDescent="0.25">
      <c r="B315" s="364" t="s">
        <v>305</v>
      </c>
      <c r="C315" s="364" t="s">
        <v>315</v>
      </c>
      <c r="D315" s="364">
        <v>100</v>
      </c>
      <c r="E315" s="364" t="s">
        <v>559</v>
      </c>
      <c r="F315" s="364" t="s">
        <v>560</v>
      </c>
      <c r="G315" s="364" t="s">
        <v>1011</v>
      </c>
      <c r="H315" s="364" t="s">
        <v>316</v>
      </c>
      <c r="I315" s="364">
        <v>35</v>
      </c>
      <c r="J315" s="364">
        <v>83101</v>
      </c>
      <c r="K315" s="364">
        <v>1</v>
      </c>
      <c r="L315" s="364">
        <v>7</v>
      </c>
      <c r="M315" s="364">
        <v>4</v>
      </c>
      <c r="N315" s="364" t="s">
        <v>317</v>
      </c>
      <c r="O315" s="364">
        <v>0</v>
      </c>
      <c r="P315" s="364">
        <v>228</v>
      </c>
      <c r="Q315" s="364">
        <v>2</v>
      </c>
      <c r="R315" s="364"/>
      <c r="S315" s="364"/>
      <c r="T315" s="364"/>
      <c r="U315" s="364">
        <v>7560.05</v>
      </c>
      <c r="V315" s="364">
        <v>0</v>
      </c>
    </row>
    <row r="316" spans="2:22" x14ac:dyDescent="0.25">
      <c r="B316" s="364" t="s">
        <v>305</v>
      </c>
      <c r="C316" s="364" t="s">
        <v>315</v>
      </c>
      <c r="D316" s="364">
        <v>100</v>
      </c>
      <c r="E316" s="364" t="s">
        <v>547</v>
      </c>
      <c r="F316" s="364" t="s">
        <v>548</v>
      </c>
      <c r="G316" s="364" t="s">
        <v>1007</v>
      </c>
      <c r="H316" s="364" t="s">
        <v>316</v>
      </c>
      <c r="I316" s="364">
        <v>35</v>
      </c>
      <c r="J316" s="364">
        <v>83101</v>
      </c>
      <c r="K316" s="364">
        <v>1</v>
      </c>
      <c r="L316" s="364">
        <v>7</v>
      </c>
      <c r="M316" s="364">
        <v>4</v>
      </c>
      <c r="N316" s="364" t="s">
        <v>317</v>
      </c>
      <c r="O316" s="364">
        <v>0</v>
      </c>
      <c r="P316" s="364">
        <v>229</v>
      </c>
      <c r="Q316" s="364">
        <v>2</v>
      </c>
      <c r="R316" s="364"/>
      <c r="S316" s="364"/>
      <c r="T316" s="364"/>
      <c r="U316" s="364">
        <v>7560.05</v>
      </c>
      <c r="V316" s="364">
        <v>0</v>
      </c>
    </row>
    <row r="317" spans="2:22" x14ac:dyDescent="0.25">
      <c r="B317" s="364" t="s">
        <v>305</v>
      </c>
      <c r="C317" s="364" t="s">
        <v>315</v>
      </c>
      <c r="D317" s="364">
        <v>100</v>
      </c>
      <c r="E317" s="364" t="s">
        <v>820</v>
      </c>
      <c r="F317" s="364" t="s">
        <v>821</v>
      </c>
      <c r="G317" s="364" t="s">
        <v>1135</v>
      </c>
      <c r="H317" s="364" t="s">
        <v>756</v>
      </c>
      <c r="I317" s="364">
        <v>35</v>
      </c>
      <c r="J317" s="364">
        <v>83101</v>
      </c>
      <c r="K317" s="364">
        <v>1</v>
      </c>
      <c r="L317" s="364">
        <v>7</v>
      </c>
      <c r="M317" s="364">
        <v>4</v>
      </c>
      <c r="N317" s="364" t="s">
        <v>757</v>
      </c>
      <c r="O317" s="364">
        <v>0</v>
      </c>
      <c r="P317" s="364">
        <v>23</v>
      </c>
      <c r="Q317" s="364">
        <v>2</v>
      </c>
      <c r="R317" s="364"/>
      <c r="S317" s="364"/>
      <c r="T317" s="364"/>
      <c r="U317" s="364">
        <v>5614.98</v>
      </c>
      <c r="V317" s="364">
        <v>0</v>
      </c>
    </row>
    <row r="318" spans="2:22" x14ac:dyDescent="0.25">
      <c r="B318" s="364" t="s">
        <v>305</v>
      </c>
      <c r="C318" s="364" t="s">
        <v>315</v>
      </c>
      <c r="D318" s="364">
        <v>100</v>
      </c>
      <c r="E318" s="364" t="s">
        <v>402</v>
      </c>
      <c r="F318" s="364" t="s">
        <v>403</v>
      </c>
      <c r="G318" s="364" t="s">
        <v>1021</v>
      </c>
      <c r="H318" s="364" t="s">
        <v>756</v>
      </c>
      <c r="I318" s="364">
        <v>35</v>
      </c>
      <c r="J318" s="364">
        <v>83101</v>
      </c>
      <c r="K318" s="364">
        <v>1</v>
      </c>
      <c r="L318" s="364">
        <v>7</v>
      </c>
      <c r="M318" s="364">
        <v>4</v>
      </c>
      <c r="N318" s="364" t="s">
        <v>757</v>
      </c>
      <c r="O318" s="364">
        <v>0</v>
      </c>
      <c r="P318" s="364">
        <v>230</v>
      </c>
      <c r="Q318" s="364">
        <v>2</v>
      </c>
      <c r="R318" s="364"/>
      <c r="S318" s="364"/>
      <c r="T318" s="364"/>
      <c r="U318" s="364">
        <v>6520.88</v>
      </c>
      <c r="V318" s="364">
        <v>0</v>
      </c>
    </row>
    <row r="319" spans="2:22" x14ac:dyDescent="0.25">
      <c r="B319" s="364" t="s">
        <v>305</v>
      </c>
      <c r="C319" s="364" t="s">
        <v>315</v>
      </c>
      <c r="D319" s="364">
        <v>100</v>
      </c>
      <c r="E319" s="364" t="s">
        <v>515</v>
      </c>
      <c r="F319" s="364" t="s">
        <v>516</v>
      </c>
      <c r="G319" s="364" t="s">
        <v>1032</v>
      </c>
      <c r="H319" s="364" t="s">
        <v>316</v>
      </c>
      <c r="I319" s="364">
        <v>35</v>
      </c>
      <c r="J319" s="364">
        <v>83101</v>
      </c>
      <c r="K319" s="364">
        <v>1</v>
      </c>
      <c r="L319" s="364">
        <v>7</v>
      </c>
      <c r="M319" s="364">
        <v>4</v>
      </c>
      <c r="N319" s="364" t="s">
        <v>317</v>
      </c>
      <c r="O319" s="364">
        <v>0</v>
      </c>
      <c r="P319" s="364">
        <v>231</v>
      </c>
      <c r="Q319" s="364">
        <v>2</v>
      </c>
      <c r="R319" s="364"/>
      <c r="S319" s="364"/>
      <c r="T319" s="364"/>
      <c r="U319" s="364">
        <v>7487.11</v>
      </c>
      <c r="V319" s="364">
        <v>0</v>
      </c>
    </row>
    <row r="320" spans="2:22" x14ac:dyDescent="0.25">
      <c r="B320" s="364" t="s">
        <v>305</v>
      </c>
      <c r="C320" s="364" t="s">
        <v>315</v>
      </c>
      <c r="D320" s="364">
        <v>100</v>
      </c>
      <c r="E320" s="364" t="s">
        <v>486</v>
      </c>
      <c r="F320" s="364" t="s">
        <v>487</v>
      </c>
      <c r="G320" s="364" t="s">
        <v>937</v>
      </c>
      <c r="H320" s="364" t="s">
        <v>316</v>
      </c>
      <c r="I320" s="364">
        <v>35</v>
      </c>
      <c r="J320" s="364">
        <v>83101</v>
      </c>
      <c r="K320" s="364">
        <v>1</v>
      </c>
      <c r="L320" s="364">
        <v>7</v>
      </c>
      <c r="M320" s="364">
        <v>4</v>
      </c>
      <c r="N320" s="364" t="s">
        <v>317</v>
      </c>
      <c r="O320" s="364">
        <v>0</v>
      </c>
      <c r="P320" s="364">
        <v>233</v>
      </c>
      <c r="Q320" s="364">
        <v>2</v>
      </c>
      <c r="R320" s="364"/>
      <c r="S320" s="364"/>
      <c r="T320" s="364"/>
      <c r="U320" s="364">
        <v>7778.85</v>
      </c>
      <c r="V320" s="364">
        <v>0</v>
      </c>
    </row>
    <row r="321" spans="2:22" x14ac:dyDescent="0.25">
      <c r="B321" s="364" t="s">
        <v>305</v>
      </c>
      <c r="C321" s="364" t="s">
        <v>315</v>
      </c>
      <c r="D321" s="364">
        <v>100</v>
      </c>
      <c r="E321" s="364" t="s">
        <v>721</v>
      </c>
      <c r="F321" s="364" t="s">
        <v>722</v>
      </c>
      <c r="G321" s="364" t="s">
        <v>1110</v>
      </c>
      <c r="H321" s="364" t="s">
        <v>316</v>
      </c>
      <c r="I321" s="364">
        <v>35</v>
      </c>
      <c r="J321" s="364">
        <v>83101</v>
      </c>
      <c r="K321" s="364">
        <v>1</v>
      </c>
      <c r="L321" s="364">
        <v>7</v>
      </c>
      <c r="M321" s="364">
        <v>4</v>
      </c>
      <c r="N321" s="364" t="s">
        <v>317</v>
      </c>
      <c r="O321" s="364">
        <v>0</v>
      </c>
      <c r="P321" s="364">
        <v>235</v>
      </c>
      <c r="Q321" s="364">
        <v>2</v>
      </c>
      <c r="R321" s="364"/>
      <c r="S321" s="364"/>
      <c r="T321" s="364"/>
      <c r="U321" s="364">
        <v>6089.62</v>
      </c>
      <c r="V321" s="364">
        <v>0</v>
      </c>
    </row>
    <row r="322" spans="2:22" x14ac:dyDescent="0.25">
      <c r="B322" s="364" t="s">
        <v>305</v>
      </c>
      <c r="C322" s="364" t="s">
        <v>315</v>
      </c>
      <c r="D322" s="364">
        <v>100</v>
      </c>
      <c r="E322" s="364" t="s">
        <v>569</v>
      </c>
      <c r="F322" s="364" t="s">
        <v>570</v>
      </c>
      <c r="G322" s="364" t="s">
        <v>1013</v>
      </c>
      <c r="H322" s="364" t="s">
        <v>316</v>
      </c>
      <c r="I322" s="364">
        <v>35</v>
      </c>
      <c r="J322" s="364">
        <v>83101</v>
      </c>
      <c r="K322" s="364">
        <v>1</v>
      </c>
      <c r="L322" s="364">
        <v>7</v>
      </c>
      <c r="M322" s="364">
        <v>4</v>
      </c>
      <c r="N322" s="364" t="s">
        <v>317</v>
      </c>
      <c r="O322" s="364">
        <v>0</v>
      </c>
      <c r="P322" s="364">
        <v>236</v>
      </c>
      <c r="Q322" s="364">
        <v>2</v>
      </c>
      <c r="R322" s="364"/>
      <c r="S322" s="364"/>
      <c r="T322" s="364"/>
      <c r="U322" s="364">
        <v>7560.05</v>
      </c>
      <c r="V322" s="364">
        <v>0</v>
      </c>
    </row>
    <row r="323" spans="2:22" x14ac:dyDescent="0.25">
      <c r="B323" s="364" t="s">
        <v>305</v>
      </c>
      <c r="C323" s="364" t="s">
        <v>315</v>
      </c>
      <c r="D323" s="364">
        <v>100</v>
      </c>
      <c r="E323" s="364" t="s">
        <v>1359</v>
      </c>
      <c r="F323" s="364" t="s">
        <v>1360</v>
      </c>
      <c r="G323" s="364" t="s">
        <v>1361</v>
      </c>
      <c r="H323" s="364" t="s">
        <v>316</v>
      </c>
      <c r="I323" s="364">
        <v>35</v>
      </c>
      <c r="J323" s="364">
        <v>83101</v>
      </c>
      <c r="K323" s="364">
        <v>1</v>
      </c>
      <c r="L323" s="364">
        <v>7</v>
      </c>
      <c r="M323" s="364">
        <v>4</v>
      </c>
      <c r="N323" s="364" t="s">
        <v>317</v>
      </c>
      <c r="O323" s="364">
        <v>0</v>
      </c>
      <c r="P323" s="364">
        <v>237</v>
      </c>
      <c r="Q323" s="364">
        <v>2</v>
      </c>
      <c r="R323" s="364"/>
      <c r="S323" s="364"/>
      <c r="T323" s="364"/>
      <c r="U323" s="364">
        <v>7596.51</v>
      </c>
      <c r="V323" s="364">
        <v>0</v>
      </c>
    </row>
    <row r="324" spans="2:22" x14ac:dyDescent="0.25">
      <c r="B324" s="364" t="s">
        <v>305</v>
      </c>
      <c r="C324" s="364" t="s">
        <v>315</v>
      </c>
      <c r="D324" s="364">
        <v>100</v>
      </c>
      <c r="E324" s="364" t="s">
        <v>514</v>
      </c>
      <c r="F324" s="364" t="s">
        <v>1403</v>
      </c>
      <c r="G324" s="364" t="s">
        <v>961</v>
      </c>
      <c r="H324" s="364" t="s">
        <v>316</v>
      </c>
      <c r="I324" s="364">
        <v>35</v>
      </c>
      <c r="J324" s="364">
        <v>83101</v>
      </c>
      <c r="K324" s="364">
        <v>1</v>
      </c>
      <c r="L324" s="364">
        <v>7</v>
      </c>
      <c r="M324" s="364">
        <v>4</v>
      </c>
      <c r="N324" s="364" t="s">
        <v>317</v>
      </c>
      <c r="O324" s="364">
        <v>0</v>
      </c>
      <c r="P324" s="364">
        <v>238</v>
      </c>
      <c r="Q324" s="364">
        <v>2</v>
      </c>
      <c r="R324" s="364"/>
      <c r="S324" s="364"/>
      <c r="T324" s="364"/>
      <c r="U324" s="364">
        <v>7778.85</v>
      </c>
      <c r="V324" s="364">
        <v>0</v>
      </c>
    </row>
    <row r="325" spans="2:22" x14ac:dyDescent="0.25">
      <c r="B325" s="364" t="s">
        <v>305</v>
      </c>
      <c r="C325" s="364" t="s">
        <v>315</v>
      </c>
      <c r="D325" s="364">
        <v>100</v>
      </c>
      <c r="E325" s="364" t="s">
        <v>694</v>
      </c>
      <c r="F325" s="364" t="s">
        <v>695</v>
      </c>
      <c r="G325" s="364" t="s">
        <v>1035</v>
      </c>
      <c r="H325" s="364" t="s">
        <v>316</v>
      </c>
      <c r="I325" s="364">
        <v>35</v>
      </c>
      <c r="J325" s="364">
        <v>83101</v>
      </c>
      <c r="K325" s="364">
        <v>1</v>
      </c>
      <c r="L325" s="364">
        <v>7</v>
      </c>
      <c r="M325" s="364">
        <v>4</v>
      </c>
      <c r="N325" s="364" t="s">
        <v>317</v>
      </c>
      <c r="O325" s="364">
        <v>0</v>
      </c>
      <c r="P325" s="364">
        <v>239</v>
      </c>
      <c r="Q325" s="364">
        <v>2</v>
      </c>
      <c r="R325" s="364"/>
      <c r="S325" s="364"/>
      <c r="T325" s="364"/>
      <c r="U325" s="364">
        <v>7414.18</v>
      </c>
      <c r="V325" s="364">
        <v>0</v>
      </c>
    </row>
    <row r="326" spans="2:22" x14ac:dyDescent="0.25">
      <c r="B326" s="364" t="s">
        <v>305</v>
      </c>
      <c r="C326" s="364" t="s">
        <v>315</v>
      </c>
      <c r="D326" s="364">
        <v>100</v>
      </c>
      <c r="E326" s="364" t="s">
        <v>492</v>
      </c>
      <c r="F326" s="364" t="s">
        <v>493</v>
      </c>
      <c r="G326" s="364" t="s">
        <v>962</v>
      </c>
      <c r="H326" s="364" t="s">
        <v>316</v>
      </c>
      <c r="I326" s="364">
        <v>35</v>
      </c>
      <c r="J326" s="364">
        <v>83101</v>
      </c>
      <c r="K326" s="364">
        <v>1</v>
      </c>
      <c r="L326" s="364">
        <v>7</v>
      </c>
      <c r="M326" s="364">
        <v>4</v>
      </c>
      <c r="N326" s="364" t="s">
        <v>317</v>
      </c>
      <c r="O326" s="364">
        <v>0</v>
      </c>
      <c r="P326" s="364">
        <v>240</v>
      </c>
      <c r="Q326" s="364">
        <v>2</v>
      </c>
      <c r="R326" s="364"/>
      <c r="S326" s="364"/>
      <c r="T326" s="364"/>
      <c r="U326" s="364">
        <v>7778.85</v>
      </c>
      <c r="V326" s="364">
        <v>0</v>
      </c>
    </row>
    <row r="327" spans="2:22" x14ac:dyDescent="0.25">
      <c r="B327" s="364" t="s">
        <v>305</v>
      </c>
      <c r="C327" s="364" t="s">
        <v>315</v>
      </c>
      <c r="D327" s="364">
        <v>100</v>
      </c>
      <c r="E327" s="364" t="s">
        <v>519</v>
      </c>
      <c r="F327" s="364" t="s">
        <v>520</v>
      </c>
      <c r="G327" s="364" t="s">
        <v>1029</v>
      </c>
      <c r="H327" s="364" t="s">
        <v>316</v>
      </c>
      <c r="I327" s="364">
        <v>35</v>
      </c>
      <c r="J327" s="364">
        <v>83101</v>
      </c>
      <c r="K327" s="364">
        <v>1</v>
      </c>
      <c r="L327" s="364">
        <v>7</v>
      </c>
      <c r="M327" s="364">
        <v>4</v>
      </c>
      <c r="N327" s="364" t="s">
        <v>317</v>
      </c>
      <c r="O327" s="364">
        <v>0</v>
      </c>
      <c r="P327" s="364">
        <v>241</v>
      </c>
      <c r="Q327" s="364">
        <v>2</v>
      </c>
      <c r="R327" s="364"/>
      <c r="S327" s="364"/>
      <c r="T327" s="364"/>
      <c r="U327" s="364">
        <v>7487.11</v>
      </c>
      <c r="V327" s="364">
        <v>0</v>
      </c>
    </row>
    <row r="328" spans="2:22" x14ac:dyDescent="0.25">
      <c r="B328" s="364" t="s">
        <v>305</v>
      </c>
      <c r="C328" s="364" t="s">
        <v>315</v>
      </c>
      <c r="D328" s="364">
        <v>100</v>
      </c>
      <c r="E328" s="364" t="s">
        <v>490</v>
      </c>
      <c r="F328" s="364" t="s">
        <v>491</v>
      </c>
      <c r="G328" s="364" t="s">
        <v>963</v>
      </c>
      <c r="H328" s="364" t="s">
        <v>316</v>
      </c>
      <c r="I328" s="364">
        <v>35</v>
      </c>
      <c r="J328" s="364">
        <v>83101</v>
      </c>
      <c r="K328" s="364">
        <v>1</v>
      </c>
      <c r="L328" s="364">
        <v>7</v>
      </c>
      <c r="M328" s="364">
        <v>4</v>
      </c>
      <c r="N328" s="364" t="s">
        <v>317</v>
      </c>
      <c r="O328" s="364">
        <v>0</v>
      </c>
      <c r="P328" s="364">
        <v>242</v>
      </c>
      <c r="Q328" s="364">
        <v>2</v>
      </c>
      <c r="R328" s="364"/>
      <c r="S328" s="364"/>
      <c r="T328" s="364"/>
      <c r="U328" s="364">
        <v>7742.38</v>
      </c>
      <c r="V328" s="364">
        <v>0</v>
      </c>
    </row>
    <row r="329" spans="2:22" x14ac:dyDescent="0.25">
      <c r="B329" s="364" t="s">
        <v>305</v>
      </c>
      <c r="C329" s="364" t="s">
        <v>315</v>
      </c>
      <c r="D329" s="364">
        <v>100</v>
      </c>
      <c r="E329" s="364" t="s">
        <v>406</v>
      </c>
      <c r="F329" s="364" t="s">
        <v>407</v>
      </c>
      <c r="G329" s="364" t="s">
        <v>984</v>
      </c>
      <c r="H329" s="364" t="s">
        <v>756</v>
      </c>
      <c r="I329" s="364">
        <v>35</v>
      </c>
      <c r="J329" s="364">
        <v>83101</v>
      </c>
      <c r="K329" s="364">
        <v>1</v>
      </c>
      <c r="L329" s="364">
        <v>7</v>
      </c>
      <c r="M329" s="364">
        <v>4</v>
      </c>
      <c r="N329" s="364" t="s">
        <v>757</v>
      </c>
      <c r="O329" s="364">
        <v>0</v>
      </c>
      <c r="P329" s="364">
        <v>243</v>
      </c>
      <c r="Q329" s="364">
        <v>2</v>
      </c>
      <c r="R329" s="364"/>
      <c r="S329" s="364"/>
      <c r="T329" s="364"/>
      <c r="U329" s="364">
        <v>6651.12</v>
      </c>
      <c r="V329" s="364">
        <v>0</v>
      </c>
    </row>
    <row r="330" spans="2:22" x14ac:dyDescent="0.25">
      <c r="B330" s="364" t="s">
        <v>305</v>
      </c>
      <c r="C330" s="364" t="s">
        <v>315</v>
      </c>
      <c r="D330" s="364">
        <v>100</v>
      </c>
      <c r="E330" s="364" t="s">
        <v>1634</v>
      </c>
      <c r="F330" s="364" t="s">
        <v>1635</v>
      </c>
      <c r="G330" s="364" t="s">
        <v>1636</v>
      </c>
      <c r="H330" s="364" t="s">
        <v>316</v>
      </c>
      <c r="I330" s="364">
        <v>35</v>
      </c>
      <c r="J330" s="364">
        <v>83101</v>
      </c>
      <c r="K330" s="364">
        <v>1</v>
      </c>
      <c r="L330" s="364">
        <v>7</v>
      </c>
      <c r="M330" s="364">
        <v>4</v>
      </c>
      <c r="N330" s="364" t="s">
        <v>317</v>
      </c>
      <c r="O330" s="364">
        <v>0</v>
      </c>
      <c r="P330" s="364">
        <v>244</v>
      </c>
      <c r="Q330" s="364">
        <v>2</v>
      </c>
      <c r="R330" s="364"/>
      <c r="S330" s="364"/>
      <c r="T330" s="364"/>
      <c r="U330" s="364">
        <v>6089.62</v>
      </c>
      <c r="V330" s="364">
        <v>0</v>
      </c>
    </row>
    <row r="331" spans="2:22" x14ac:dyDescent="0.25">
      <c r="B331" s="364" t="s">
        <v>305</v>
      </c>
      <c r="C331" s="364" t="s">
        <v>315</v>
      </c>
      <c r="D331" s="364">
        <v>100</v>
      </c>
      <c r="E331" s="364" t="s">
        <v>557</v>
      </c>
      <c r="F331" s="364" t="s">
        <v>558</v>
      </c>
      <c r="G331" s="364" t="s">
        <v>1010</v>
      </c>
      <c r="H331" s="364" t="s">
        <v>316</v>
      </c>
      <c r="I331" s="364">
        <v>35</v>
      </c>
      <c r="J331" s="364">
        <v>83101</v>
      </c>
      <c r="K331" s="364">
        <v>1</v>
      </c>
      <c r="L331" s="364">
        <v>7</v>
      </c>
      <c r="M331" s="364">
        <v>4</v>
      </c>
      <c r="N331" s="364" t="s">
        <v>317</v>
      </c>
      <c r="O331" s="364">
        <v>0</v>
      </c>
      <c r="P331" s="364">
        <v>245</v>
      </c>
      <c r="Q331" s="364">
        <v>2</v>
      </c>
      <c r="R331" s="364"/>
      <c r="S331" s="364"/>
      <c r="T331" s="364"/>
      <c r="U331" s="364">
        <v>7560.05</v>
      </c>
      <c r="V331" s="364">
        <v>0</v>
      </c>
    </row>
    <row r="332" spans="2:22" x14ac:dyDescent="0.25">
      <c r="B332" s="364" t="s">
        <v>305</v>
      </c>
      <c r="C332" s="364" t="s">
        <v>315</v>
      </c>
      <c r="D332" s="364">
        <v>100</v>
      </c>
      <c r="E332" s="364" t="s">
        <v>706</v>
      </c>
      <c r="F332" s="364" t="s">
        <v>1691</v>
      </c>
      <c r="G332" s="364" t="s">
        <v>964</v>
      </c>
      <c r="H332" s="364" t="s">
        <v>316</v>
      </c>
      <c r="I332" s="364">
        <v>35</v>
      </c>
      <c r="J332" s="364">
        <v>83101</v>
      </c>
      <c r="K332" s="364">
        <v>1</v>
      </c>
      <c r="L332" s="364">
        <v>7</v>
      </c>
      <c r="M332" s="364">
        <v>4</v>
      </c>
      <c r="N332" s="364" t="s">
        <v>317</v>
      </c>
      <c r="O332" s="364">
        <v>0</v>
      </c>
      <c r="P332" s="364">
        <v>246</v>
      </c>
      <c r="Q332" s="364">
        <v>2</v>
      </c>
      <c r="R332" s="364"/>
      <c r="S332" s="364"/>
      <c r="T332" s="364"/>
      <c r="U332" s="364">
        <v>7742.38</v>
      </c>
      <c r="V332" s="364">
        <v>0</v>
      </c>
    </row>
    <row r="333" spans="2:22" x14ac:dyDescent="0.25">
      <c r="B333" s="364" t="s">
        <v>305</v>
      </c>
      <c r="C333" s="364" t="s">
        <v>315</v>
      </c>
      <c r="D333" s="364">
        <v>100</v>
      </c>
      <c r="E333" s="364" t="s">
        <v>658</v>
      </c>
      <c r="F333" s="364" t="s">
        <v>659</v>
      </c>
      <c r="G333" s="364" t="s">
        <v>965</v>
      </c>
      <c r="H333" s="364" t="s">
        <v>316</v>
      </c>
      <c r="I333" s="364">
        <v>35</v>
      </c>
      <c r="J333" s="364">
        <v>83101</v>
      </c>
      <c r="K333" s="364">
        <v>1</v>
      </c>
      <c r="L333" s="364">
        <v>7</v>
      </c>
      <c r="M333" s="364">
        <v>4</v>
      </c>
      <c r="N333" s="364" t="s">
        <v>317</v>
      </c>
      <c r="O333" s="364">
        <v>0</v>
      </c>
      <c r="P333" s="364">
        <v>247</v>
      </c>
      <c r="Q333" s="364">
        <v>2</v>
      </c>
      <c r="R333" s="364"/>
      <c r="S333" s="364"/>
      <c r="T333" s="364"/>
      <c r="U333" s="364">
        <v>7742.38</v>
      </c>
      <c r="V333" s="364">
        <v>0</v>
      </c>
    </row>
    <row r="334" spans="2:22" x14ac:dyDescent="0.25">
      <c r="B334" s="364" t="s">
        <v>305</v>
      </c>
      <c r="C334" s="364" t="s">
        <v>315</v>
      </c>
      <c r="D334" s="364">
        <v>100</v>
      </c>
      <c r="E334" s="364" t="s">
        <v>313</v>
      </c>
      <c r="F334" s="364" t="s">
        <v>314</v>
      </c>
      <c r="G334" s="364" t="s">
        <v>1020</v>
      </c>
      <c r="H334" s="364" t="s">
        <v>316</v>
      </c>
      <c r="I334" s="364">
        <v>35</v>
      </c>
      <c r="J334" s="364">
        <v>83101</v>
      </c>
      <c r="K334" s="364">
        <v>1</v>
      </c>
      <c r="L334" s="364">
        <v>7</v>
      </c>
      <c r="M334" s="364">
        <v>4</v>
      </c>
      <c r="N334" s="364" t="s">
        <v>317</v>
      </c>
      <c r="O334" s="364">
        <v>0</v>
      </c>
      <c r="P334" s="364">
        <v>248</v>
      </c>
      <c r="Q334" s="364">
        <v>2</v>
      </c>
      <c r="R334" s="364"/>
      <c r="S334" s="364"/>
      <c r="T334" s="364"/>
      <c r="U334" s="364">
        <v>7523.58</v>
      </c>
      <c r="V334" s="364">
        <v>0</v>
      </c>
    </row>
    <row r="335" spans="2:22" x14ac:dyDescent="0.25">
      <c r="B335" s="364" t="s">
        <v>305</v>
      </c>
      <c r="C335" s="364" t="s">
        <v>315</v>
      </c>
      <c r="D335" s="364">
        <v>100</v>
      </c>
      <c r="E335" s="364" t="s">
        <v>630</v>
      </c>
      <c r="F335" s="364" t="s">
        <v>631</v>
      </c>
      <c r="G335" s="364" t="s">
        <v>1442</v>
      </c>
      <c r="H335" s="364" t="s">
        <v>316</v>
      </c>
      <c r="I335" s="364">
        <v>35</v>
      </c>
      <c r="J335" s="364">
        <v>83101</v>
      </c>
      <c r="K335" s="364">
        <v>1</v>
      </c>
      <c r="L335" s="364">
        <v>7</v>
      </c>
      <c r="M335" s="364">
        <v>4</v>
      </c>
      <c r="N335" s="364" t="s">
        <v>317</v>
      </c>
      <c r="O335" s="364">
        <v>0</v>
      </c>
      <c r="P335" s="364">
        <v>249</v>
      </c>
      <c r="Q335" s="364">
        <v>2</v>
      </c>
      <c r="R335" s="364"/>
      <c r="S335" s="364"/>
      <c r="T335" s="364"/>
      <c r="U335" s="364">
        <v>7596.51</v>
      </c>
      <c r="V335" s="364">
        <v>0</v>
      </c>
    </row>
    <row r="336" spans="2:22" x14ac:dyDescent="0.25">
      <c r="B336" s="364" t="s">
        <v>305</v>
      </c>
      <c r="C336" s="364" t="s">
        <v>315</v>
      </c>
      <c r="D336" s="364">
        <v>100</v>
      </c>
      <c r="E336" s="364" t="s">
        <v>1367</v>
      </c>
      <c r="F336" s="364" t="s">
        <v>1368</v>
      </c>
      <c r="G336" s="364" t="s">
        <v>1369</v>
      </c>
      <c r="H336" s="364" t="s">
        <v>760</v>
      </c>
      <c r="I336" s="364">
        <v>35</v>
      </c>
      <c r="J336" s="364">
        <v>83101</v>
      </c>
      <c r="K336" s="364">
        <v>1</v>
      </c>
      <c r="L336" s="364">
        <v>7</v>
      </c>
      <c r="M336" s="364">
        <v>2</v>
      </c>
      <c r="N336" s="364" t="s">
        <v>797</v>
      </c>
      <c r="O336" s="364">
        <v>0</v>
      </c>
      <c r="P336" s="364">
        <v>25</v>
      </c>
      <c r="Q336" s="364">
        <v>2</v>
      </c>
      <c r="R336" s="364"/>
      <c r="S336" s="364"/>
      <c r="T336" s="364"/>
      <c r="U336" s="364">
        <v>5001.97</v>
      </c>
      <c r="V336" s="364">
        <v>0</v>
      </c>
    </row>
    <row r="337" spans="2:22" x14ac:dyDescent="0.25">
      <c r="B337" s="364" t="s">
        <v>305</v>
      </c>
      <c r="C337" s="364" t="s">
        <v>315</v>
      </c>
      <c r="D337" s="364">
        <v>100</v>
      </c>
      <c r="E337" s="364" t="s">
        <v>707</v>
      </c>
      <c r="F337" s="364" t="s">
        <v>708</v>
      </c>
      <c r="G337" s="364" t="s">
        <v>974</v>
      </c>
      <c r="H337" s="364" t="s">
        <v>316</v>
      </c>
      <c r="I337" s="364">
        <v>35</v>
      </c>
      <c r="J337" s="364">
        <v>83101</v>
      </c>
      <c r="K337" s="364">
        <v>1</v>
      </c>
      <c r="L337" s="364">
        <v>7</v>
      </c>
      <c r="M337" s="364">
        <v>4</v>
      </c>
      <c r="N337" s="364" t="s">
        <v>317</v>
      </c>
      <c r="O337" s="364">
        <v>0</v>
      </c>
      <c r="P337" s="364">
        <v>250</v>
      </c>
      <c r="Q337" s="364">
        <v>2</v>
      </c>
      <c r="R337" s="364"/>
      <c r="S337" s="364"/>
      <c r="T337" s="364"/>
      <c r="U337" s="364">
        <v>7669.45</v>
      </c>
      <c r="V337" s="364">
        <v>0</v>
      </c>
    </row>
    <row r="338" spans="2:22" x14ac:dyDescent="0.25">
      <c r="B338" s="364" t="s">
        <v>305</v>
      </c>
      <c r="C338" s="364" t="s">
        <v>315</v>
      </c>
      <c r="D338" s="364">
        <v>100</v>
      </c>
      <c r="E338" s="364" t="s">
        <v>1693</v>
      </c>
      <c r="F338" s="364" t="s">
        <v>1694</v>
      </c>
      <c r="G338" s="364" t="s">
        <v>1695</v>
      </c>
      <c r="H338" s="364" t="s">
        <v>316</v>
      </c>
      <c r="I338" s="364">
        <v>35</v>
      </c>
      <c r="J338" s="364">
        <v>83101</v>
      </c>
      <c r="K338" s="364">
        <v>1</v>
      </c>
      <c r="L338" s="364">
        <v>7</v>
      </c>
      <c r="M338" s="364">
        <v>4</v>
      </c>
      <c r="N338" s="364" t="s">
        <v>317</v>
      </c>
      <c r="O338" s="364">
        <v>0</v>
      </c>
      <c r="P338" s="364">
        <v>251</v>
      </c>
      <c r="Q338" s="364">
        <v>2</v>
      </c>
      <c r="R338" s="364"/>
      <c r="S338" s="364"/>
      <c r="T338" s="364"/>
      <c r="U338" s="364">
        <v>6089.62</v>
      </c>
      <c r="V338" s="364">
        <v>0</v>
      </c>
    </row>
    <row r="339" spans="2:22" x14ac:dyDescent="0.25">
      <c r="B339" s="364" t="s">
        <v>305</v>
      </c>
      <c r="C339" s="364" t="s">
        <v>315</v>
      </c>
      <c r="D339" s="364">
        <v>100</v>
      </c>
      <c r="E339" s="364" t="s">
        <v>648</v>
      </c>
      <c r="F339" s="364" t="s">
        <v>649</v>
      </c>
      <c r="G339" s="364" t="s">
        <v>967</v>
      </c>
      <c r="H339" s="364" t="s">
        <v>316</v>
      </c>
      <c r="I339" s="364">
        <v>35</v>
      </c>
      <c r="J339" s="364">
        <v>83101</v>
      </c>
      <c r="K339" s="364">
        <v>1</v>
      </c>
      <c r="L339" s="364">
        <v>7</v>
      </c>
      <c r="M339" s="364">
        <v>4</v>
      </c>
      <c r="N339" s="364" t="s">
        <v>317</v>
      </c>
      <c r="O339" s="364">
        <v>0</v>
      </c>
      <c r="P339" s="364">
        <v>252</v>
      </c>
      <c r="Q339" s="364">
        <v>2</v>
      </c>
      <c r="R339" s="364"/>
      <c r="S339" s="364"/>
      <c r="T339" s="364"/>
      <c r="U339" s="364">
        <v>7949.03</v>
      </c>
      <c r="V339" s="364">
        <v>0</v>
      </c>
    </row>
    <row r="340" spans="2:22" x14ac:dyDescent="0.25">
      <c r="B340" s="364" t="s">
        <v>305</v>
      </c>
      <c r="C340" s="364" t="s">
        <v>315</v>
      </c>
      <c r="D340" s="364">
        <v>100</v>
      </c>
      <c r="E340" s="364" t="s">
        <v>652</v>
      </c>
      <c r="F340" s="364" t="s">
        <v>653</v>
      </c>
      <c r="G340" s="364" t="s">
        <v>966</v>
      </c>
      <c r="H340" s="364" t="s">
        <v>316</v>
      </c>
      <c r="I340" s="364">
        <v>35</v>
      </c>
      <c r="J340" s="364">
        <v>83101</v>
      </c>
      <c r="K340" s="364">
        <v>1</v>
      </c>
      <c r="L340" s="364">
        <v>7</v>
      </c>
      <c r="M340" s="364">
        <v>4</v>
      </c>
      <c r="N340" s="364" t="s">
        <v>317</v>
      </c>
      <c r="O340" s="364">
        <v>0</v>
      </c>
      <c r="P340" s="364">
        <v>253</v>
      </c>
      <c r="Q340" s="364">
        <v>2</v>
      </c>
      <c r="R340" s="364"/>
      <c r="S340" s="364"/>
      <c r="T340" s="364"/>
      <c r="U340" s="364">
        <v>7742.38</v>
      </c>
      <c r="V340" s="364">
        <v>0</v>
      </c>
    </row>
    <row r="341" spans="2:22" x14ac:dyDescent="0.25">
      <c r="B341" s="364" t="s">
        <v>305</v>
      </c>
      <c r="C341" s="364" t="s">
        <v>315</v>
      </c>
      <c r="D341" s="364">
        <v>100</v>
      </c>
      <c r="E341" s="364" t="s">
        <v>889</v>
      </c>
      <c r="F341" s="364" t="s">
        <v>890</v>
      </c>
      <c r="G341" s="364" t="s">
        <v>1162</v>
      </c>
      <c r="H341" s="364" t="s">
        <v>316</v>
      </c>
      <c r="I341" s="364">
        <v>35</v>
      </c>
      <c r="J341" s="364">
        <v>83101</v>
      </c>
      <c r="K341" s="364">
        <v>1</v>
      </c>
      <c r="L341" s="364">
        <v>7</v>
      </c>
      <c r="M341" s="364">
        <v>4</v>
      </c>
      <c r="N341" s="364" t="s">
        <v>317</v>
      </c>
      <c r="O341" s="364">
        <v>0</v>
      </c>
      <c r="P341" s="364">
        <v>254</v>
      </c>
      <c r="Q341" s="364">
        <v>2</v>
      </c>
      <c r="R341" s="364"/>
      <c r="S341" s="364"/>
      <c r="T341" s="364"/>
      <c r="U341" s="364">
        <v>6089.62</v>
      </c>
      <c r="V341" s="364">
        <v>0</v>
      </c>
    </row>
    <row r="342" spans="2:22" x14ac:dyDescent="0.25">
      <c r="B342" s="364" t="s">
        <v>305</v>
      </c>
      <c r="C342" s="364" t="s">
        <v>315</v>
      </c>
      <c r="D342" s="364">
        <v>100</v>
      </c>
      <c r="E342" s="364" t="s">
        <v>582</v>
      </c>
      <c r="F342" s="364" t="s">
        <v>583</v>
      </c>
      <c r="G342" s="364" t="s">
        <v>1018</v>
      </c>
      <c r="H342" s="364" t="s">
        <v>316</v>
      </c>
      <c r="I342" s="364">
        <v>35</v>
      </c>
      <c r="J342" s="364">
        <v>83101</v>
      </c>
      <c r="K342" s="364">
        <v>1</v>
      </c>
      <c r="L342" s="364">
        <v>7</v>
      </c>
      <c r="M342" s="364">
        <v>4</v>
      </c>
      <c r="N342" s="364" t="s">
        <v>317</v>
      </c>
      <c r="O342" s="364">
        <v>0</v>
      </c>
      <c r="P342" s="364">
        <v>255</v>
      </c>
      <c r="Q342" s="364">
        <v>2</v>
      </c>
      <c r="R342" s="364"/>
      <c r="S342" s="364"/>
      <c r="T342" s="364"/>
      <c r="U342" s="364">
        <v>7560.05</v>
      </c>
      <c r="V342" s="364">
        <v>0</v>
      </c>
    </row>
    <row r="343" spans="2:22" x14ac:dyDescent="0.25">
      <c r="B343" s="364" t="s">
        <v>305</v>
      </c>
      <c r="C343" s="364" t="s">
        <v>315</v>
      </c>
      <c r="D343" s="364">
        <v>100</v>
      </c>
      <c r="E343" s="364" t="s">
        <v>531</v>
      </c>
      <c r="F343" s="364" t="s">
        <v>532</v>
      </c>
      <c r="G343" s="364" t="s">
        <v>1377</v>
      </c>
      <c r="H343" s="364" t="s">
        <v>316</v>
      </c>
      <c r="I343" s="364">
        <v>35</v>
      </c>
      <c r="J343" s="364">
        <v>83101</v>
      </c>
      <c r="K343" s="364">
        <v>1</v>
      </c>
      <c r="L343" s="364">
        <v>7</v>
      </c>
      <c r="M343" s="364">
        <v>4</v>
      </c>
      <c r="N343" s="364" t="s">
        <v>317</v>
      </c>
      <c r="O343" s="364">
        <v>0</v>
      </c>
      <c r="P343" s="364">
        <v>256</v>
      </c>
      <c r="Q343" s="364">
        <v>2</v>
      </c>
      <c r="R343" s="364"/>
      <c r="S343" s="364"/>
      <c r="T343" s="364"/>
      <c r="U343" s="364">
        <v>7596.51</v>
      </c>
      <c r="V343" s="364">
        <v>0</v>
      </c>
    </row>
    <row r="344" spans="2:22" x14ac:dyDescent="0.25">
      <c r="B344" s="364" t="s">
        <v>305</v>
      </c>
      <c r="C344" s="364" t="s">
        <v>315</v>
      </c>
      <c r="D344" s="364">
        <v>100</v>
      </c>
      <c r="E344" s="364" t="s">
        <v>857</v>
      </c>
      <c r="F344" s="364" t="s">
        <v>858</v>
      </c>
      <c r="G344" s="364" t="s">
        <v>1169</v>
      </c>
      <c r="H344" s="364" t="s">
        <v>796</v>
      </c>
      <c r="I344" s="364">
        <v>35</v>
      </c>
      <c r="J344" s="364">
        <v>83101</v>
      </c>
      <c r="K344" s="364">
        <v>1</v>
      </c>
      <c r="L344" s="364">
        <v>7</v>
      </c>
      <c r="M344" s="364">
        <v>1</v>
      </c>
      <c r="N344" s="364" t="s">
        <v>765</v>
      </c>
      <c r="O344" s="364">
        <v>0</v>
      </c>
      <c r="P344" s="364">
        <v>257</v>
      </c>
      <c r="Q344" s="364">
        <v>2</v>
      </c>
      <c r="R344" s="364"/>
      <c r="S344" s="364"/>
      <c r="T344" s="364"/>
      <c r="U344" s="364">
        <v>5397.92</v>
      </c>
      <c r="V344" s="364">
        <v>0</v>
      </c>
    </row>
    <row r="345" spans="2:22" x14ac:dyDescent="0.25">
      <c r="B345" s="364" t="s">
        <v>305</v>
      </c>
      <c r="C345" s="364" t="s">
        <v>315</v>
      </c>
      <c r="D345" s="364">
        <v>100</v>
      </c>
      <c r="E345" s="364" t="s">
        <v>867</v>
      </c>
      <c r="F345" s="364" t="s">
        <v>868</v>
      </c>
      <c r="G345" s="364" t="s">
        <v>1362</v>
      </c>
      <c r="H345" s="364" t="s">
        <v>756</v>
      </c>
      <c r="I345" s="364">
        <v>35</v>
      </c>
      <c r="J345" s="364">
        <v>83101</v>
      </c>
      <c r="K345" s="364">
        <v>1</v>
      </c>
      <c r="L345" s="364">
        <v>7</v>
      </c>
      <c r="M345" s="364">
        <v>1</v>
      </c>
      <c r="N345" s="364" t="s">
        <v>757</v>
      </c>
      <c r="O345" s="364">
        <v>0</v>
      </c>
      <c r="P345" s="364">
        <v>258</v>
      </c>
      <c r="Q345" s="364">
        <v>2</v>
      </c>
      <c r="R345" s="364"/>
      <c r="S345" s="364"/>
      <c r="T345" s="364"/>
      <c r="U345" s="364">
        <v>5397.92</v>
      </c>
      <c r="V345" s="364">
        <v>0</v>
      </c>
    </row>
    <row r="346" spans="2:22" x14ac:dyDescent="0.25">
      <c r="B346" s="364" t="s">
        <v>305</v>
      </c>
      <c r="C346" s="364" t="s">
        <v>315</v>
      </c>
      <c r="D346" s="364">
        <v>100</v>
      </c>
      <c r="E346" s="364" t="s">
        <v>602</v>
      </c>
      <c r="F346" s="364" t="s">
        <v>603</v>
      </c>
      <c r="G346" s="364" t="s">
        <v>989</v>
      </c>
      <c r="H346" s="364" t="s">
        <v>316</v>
      </c>
      <c r="I346" s="364">
        <v>35</v>
      </c>
      <c r="J346" s="364">
        <v>83101</v>
      </c>
      <c r="K346" s="364">
        <v>1</v>
      </c>
      <c r="L346" s="364">
        <v>7</v>
      </c>
      <c r="M346" s="364">
        <v>4</v>
      </c>
      <c r="N346" s="364" t="s">
        <v>317</v>
      </c>
      <c r="O346" s="364">
        <v>0</v>
      </c>
      <c r="P346" s="364">
        <v>259</v>
      </c>
      <c r="Q346" s="364">
        <v>2</v>
      </c>
      <c r="R346" s="364"/>
      <c r="S346" s="364"/>
      <c r="T346" s="364"/>
      <c r="U346" s="364">
        <v>7632.98</v>
      </c>
      <c r="V346" s="364">
        <v>0</v>
      </c>
    </row>
    <row r="347" spans="2:22" x14ac:dyDescent="0.25">
      <c r="B347" s="364" t="s">
        <v>305</v>
      </c>
      <c r="C347" s="364" t="s">
        <v>315</v>
      </c>
      <c r="D347" s="364">
        <v>100</v>
      </c>
      <c r="E347" s="364" t="s">
        <v>432</v>
      </c>
      <c r="F347" s="364" t="s">
        <v>433</v>
      </c>
      <c r="G347" s="364" t="s">
        <v>1076</v>
      </c>
      <c r="H347" s="364" t="s">
        <v>756</v>
      </c>
      <c r="I347" s="364">
        <v>35</v>
      </c>
      <c r="J347" s="364">
        <v>83101</v>
      </c>
      <c r="K347" s="364">
        <v>1</v>
      </c>
      <c r="L347" s="364">
        <v>7</v>
      </c>
      <c r="M347" s="364">
        <v>4</v>
      </c>
      <c r="N347" s="364" t="s">
        <v>757</v>
      </c>
      <c r="O347" s="364">
        <v>0</v>
      </c>
      <c r="P347" s="364">
        <v>26</v>
      </c>
      <c r="Q347" s="364">
        <v>2</v>
      </c>
      <c r="R347" s="364"/>
      <c r="S347" s="364"/>
      <c r="T347" s="364"/>
      <c r="U347" s="364">
        <v>5846.01</v>
      </c>
      <c r="V347" s="364">
        <v>0</v>
      </c>
    </row>
    <row r="348" spans="2:22" x14ac:dyDescent="0.25">
      <c r="B348" s="364" t="s">
        <v>305</v>
      </c>
      <c r="C348" s="364" t="s">
        <v>315</v>
      </c>
      <c r="D348" s="364">
        <v>100</v>
      </c>
      <c r="E348" s="364" t="s">
        <v>656</v>
      </c>
      <c r="F348" s="364" t="s">
        <v>657</v>
      </c>
      <c r="G348" s="364" t="s">
        <v>1002</v>
      </c>
      <c r="H348" s="364" t="s">
        <v>316</v>
      </c>
      <c r="I348" s="364">
        <v>35</v>
      </c>
      <c r="J348" s="364">
        <v>83101</v>
      </c>
      <c r="K348" s="364">
        <v>1</v>
      </c>
      <c r="L348" s="364">
        <v>7</v>
      </c>
      <c r="M348" s="364">
        <v>4</v>
      </c>
      <c r="N348" s="364" t="s">
        <v>317</v>
      </c>
      <c r="O348" s="364">
        <v>0</v>
      </c>
      <c r="P348" s="364">
        <v>260</v>
      </c>
      <c r="Q348" s="364">
        <v>2</v>
      </c>
      <c r="R348" s="364"/>
      <c r="S348" s="364"/>
      <c r="T348" s="364"/>
      <c r="U348" s="364">
        <v>7596.51</v>
      </c>
      <c r="V348" s="364">
        <v>0</v>
      </c>
    </row>
    <row r="349" spans="2:22" x14ac:dyDescent="0.25">
      <c r="B349" s="364" t="s">
        <v>305</v>
      </c>
      <c r="C349" s="364" t="s">
        <v>315</v>
      </c>
      <c r="D349" s="364">
        <v>100</v>
      </c>
      <c r="E349" s="364" t="s">
        <v>480</v>
      </c>
      <c r="F349" s="364" t="s">
        <v>481</v>
      </c>
      <c r="G349" s="364" t="s">
        <v>917</v>
      </c>
      <c r="H349" s="364" t="s">
        <v>316</v>
      </c>
      <c r="I349" s="364">
        <v>35</v>
      </c>
      <c r="J349" s="364">
        <v>83101</v>
      </c>
      <c r="K349" s="364">
        <v>1</v>
      </c>
      <c r="L349" s="364">
        <v>7</v>
      </c>
      <c r="M349" s="364">
        <v>4</v>
      </c>
      <c r="N349" s="364" t="s">
        <v>317</v>
      </c>
      <c r="O349" s="364">
        <v>0</v>
      </c>
      <c r="P349" s="364">
        <v>261</v>
      </c>
      <c r="Q349" s="364">
        <v>2</v>
      </c>
      <c r="R349" s="364"/>
      <c r="S349" s="364"/>
      <c r="T349" s="364"/>
      <c r="U349" s="364">
        <v>8070.58</v>
      </c>
      <c r="V349" s="364">
        <v>0</v>
      </c>
    </row>
    <row r="350" spans="2:22" x14ac:dyDescent="0.25">
      <c r="B350" s="364" t="s">
        <v>305</v>
      </c>
      <c r="C350" s="364" t="s">
        <v>315</v>
      </c>
      <c r="D350" s="364">
        <v>100</v>
      </c>
      <c r="E350" s="364" t="s">
        <v>654</v>
      </c>
      <c r="F350" s="364" t="s">
        <v>655</v>
      </c>
      <c r="G350" s="364" t="s">
        <v>1001</v>
      </c>
      <c r="H350" s="364" t="s">
        <v>316</v>
      </c>
      <c r="I350" s="364">
        <v>35</v>
      </c>
      <c r="J350" s="364">
        <v>83101</v>
      </c>
      <c r="K350" s="364">
        <v>1</v>
      </c>
      <c r="L350" s="364">
        <v>7</v>
      </c>
      <c r="M350" s="364">
        <v>4</v>
      </c>
      <c r="N350" s="364" t="s">
        <v>317</v>
      </c>
      <c r="O350" s="364">
        <v>0</v>
      </c>
      <c r="P350" s="364">
        <v>262</v>
      </c>
      <c r="Q350" s="364">
        <v>2</v>
      </c>
      <c r="R350" s="364"/>
      <c r="S350" s="364"/>
      <c r="T350" s="364"/>
      <c r="U350" s="364">
        <v>7596.51</v>
      </c>
      <c r="V350" s="364">
        <v>0</v>
      </c>
    </row>
    <row r="351" spans="2:22" x14ac:dyDescent="0.25">
      <c r="B351" s="364" t="s">
        <v>305</v>
      </c>
      <c r="C351" s="364" t="s">
        <v>315</v>
      </c>
      <c r="D351" s="364">
        <v>100</v>
      </c>
      <c r="E351" s="364" t="s">
        <v>634</v>
      </c>
      <c r="F351" s="364" t="s">
        <v>635</v>
      </c>
      <c r="G351" s="364" t="s">
        <v>922</v>
      </c>
      <c r="H351" s="364" t="s">
        <v>316</v>
      </c>
      <c r="I351" s="364">
        <v>35</v>
      </c>
      <c r="J351" s="364">
        <v>83101</v>
      </c>
      <c r="K351" s="364">
        <v>1</v>
      </c>
      <c r="L351" s="364">
        <v>7</v>
      </c>
      <c r="M351" s="364">
        <v>4</v>
      </c>
      <c r="N351" s="364" t="s">
        <v>317</v>
      </c>
      <c r="O351" s="364">
        <v>0</v>
      </c>
      <c r="P351" s="364">
        <v>263</v>
      </c>
      <c r="Q351" s="364">
        <v>2</v>
      </c>
      <c r="R351" s="364"/>
      <c r="S351" s="364"/>
      <c r="T351" s="364"/>
      <c r="U351" s="364">
        <v>8070.58</v>
      </c>
      <c r="V351" s="364">
        <v>0</v>
      </c>
    </row>
    <row r="352" spans="2:22" x14ac:dyDescent="0.25">
      <c r="B352" s="364" t="s">
        <v>305</v>
      </c>
      <c r="C352" s="364" t="s">
        <v>315</v>
      </c>
      <c r="D352" s="364">
        <v>100</v>
      </c>
      <c r="E352" s="364" t="s">
        <v>1411</v>
      </c>
      <c r="F352" s="364" t="s">
        <v>1412</v>
      </c>
      <c r="G352" s="364" t="s">
        <v>1413</v>
      </c>
      <c r="H352" s="364" t="s">
        <v>763</v>
      </c>
      <c r="I352" s="364">
        <v>35</v>
      </c>
      <c r="J352" s="364">
        <v>83101</v>
      </c>
      <c r="K352" s="364">
        <v>1</v>
      </c>
      <c r="L352" s="364">
        <v>7</v>
      </c>
      <c r="M352" s="364">
        <v>4</v>
      </c>
      <c r="N352" s="364" t="s">
        <v>764</v>
      </c>
      <c r="O352" s="364">
        <v>0</v>
      </c>
      <c r="P352" s="364">
        <v>264</v>
      </c>
      <c r="Q352" s="364">
        <v>2</v>
      </c>
      <c r="R352" s="402"/>
      <c r="S352" s="403"/>
      <c r="T352" s="403"/>
      <c r="U352" s="364">
        <v>5240.54</v>
      </c>
      <c r="V352" s="364">
        <v>0</v>
      </c>
    </row>
    <row r="353" spans="2:22" x14ac:dyDescent="0.25">
      <c r="B353" s="364" t="s">
        <v>305</v>
      </c>
      <c r="C353" s="364" t="s">
        <v>315</v>
      </c>
      <c r="D353" s="364">
        <v>100</v>
      </c>
      <c r="E353" s="364" t="s">
        <v>387</v>
      </c>
      <c r="F353" s="364" t="s">
        <v>388</v>
      </c>
      <c r="G353" s="364" t="s">
        <v>1043</v>
      </c>
      <c r="H353" s="364" t="s">
        <v>796</v>
      </c>
      <c r="I353" s="364">
        <v>35</v>
      </c>
      <c r="J353" s="364">
        <v>83101</v>
      </c>
      <c r="K353" s="364">
        <v>1</v>
      </c>
      <c r="L353" s="364">
        <v>7</v>
      </c>
      <c r="M353" s="364">
        <v>4</v>
      </c>
      <c r="N353" s="364" t="s">
        <v>765</v>
      </c>
      <c r="O353" s="364">
        <v>0</v>
      </c>
      <c r="P353" s="364">
        <v>265</v>
      </c>
      <c r="Q353" s="364">
        <v>2</v>
      </c>
      <c r="R353" s="402"/>
      <c r="S353" s="403"/>
      <c r="T353" s="403"/>
      <c r="U353" s="364">
        <v>6292.96</v>
      </c>
      <c r="V353" s="364">
        <v>0</v>
      </c>
    </row>
    <row r="354" spans="2:22" x14ac:dyDescent="0.25">
      <c r="B354" s="106" t="s">
        <v>136</v>
      </c>
      <c r="C354" s="140">
        <f>SUM(Tabla12[Código de Pago])</f>
        <v>338</v>
      </c>
      <c r="D354" s="275"/>
      <c r="E354" s="140"/>
      <c r="F354" s="140"/>
      <c r="G354" s="142"/>
      <c r="H354" s="143"/>
      <c r="I354" s="141"/>
      <c r="J354" s="141"/>
      <c r="K354" s="141"/>
      <c r="L354" s="141"/>
      <c r="M354" s="2"/>
      <c r="N354" s="85" t="s">
        <v>137</v>
      </c>
      <c r="P354" s="269">
        <f>C354</f>
        <v>338</v>
      </c>
      <c r="Q354" s="143"/>
      <c r="R354" s="141"/>
      <c r="S354" s="416" t="s">
        <v>186</v>
      </c>
      <c r="T354" s="416"/>
      <c r="U354" s="117">
        <f>SUBTOTAL(109,Tabla12[Percepciones pagadas en el Periodo de Comisión con Presupuesto Federal*])</f>
        <v>2456724.1500000027</v>
      </c>
      <c r="V354" s="144"/>
    </row>
    <row r="355" spans="2:22" x14ac:dyDescent="0.25">
      <c r="B355" s="145"/>
      <c r="C355" s="137"/>
      <c r="D355" s="136"/>
      <c r="E355" s="137"/>
      <c r="F355" s="137"/>
      <c r="G355" s="138"/>
      <c r="H355" s="139"/>
      <c r="I355" s="136"/>
      <c r="J355" s="136"/>
      <c r="K355" s="136"/>
      <c r="L355" s="136"/>
      <c r="M355" s="136"/>
      <c r="N355" s="136"/>
      <c r="O355" s="136"/>
      <c r="P355" s="136"/>
      <c r="Q355" s="139"/>
      <c r="R355" s="136"/>
      <c r="S355" s="59"/>
      <c r="T355" s="59"/>
      <c r="U355" s="59"/>
      <c r="V355" s="146"/>
    </row>
    <row r="356" spans="2:22" x14ac:dyDescent="0.25">
      <c r="B356" s="145"/>
      <c r="C356" s="137"/>
      <c r="D356" s="136"/>
      <c r="E356" s="137"/>
      <c r="F356" s="137"/>
      <c r="G356" s="138"/>
      <c r="H356" s="139"/>
      <c r="I356" s="136"/>
      <c r="J356" s="136"/>
      <c r="K356" s="136"/>
      <c r="L356" s="136"/>
      <c r="M356" s="136"/>
      <c r="N356" s="136"/>
      <c r="O356" s="136"/>
      <c r="P356" s="136"/>
      <c r="Q356" s="139"/>
      <c r="R356" s="136"/>
      <c r="S356" s="118" t="s">
        <v>190</v>
      </c>
      <c r="T356" s="118"/>
      <c r="U356" s="118"/>
      <c r="V356" s="154">
        <f>SUM(V16:V355)</f>
        <v>0</v>
      </c>
    </row>
    <row r="357" spans="2:22" x14ac:dyDescent="0.25">
      <c r="B357" s="147"/>
      <c r="C357" s="148"/>
      <c r="D357" s="149"/>
      <c r="E357" s="148"/>
      <c r="F357" s="148"/>
      <c r="G357" s="150"/>
      <c r="H357" s="151"/>
      <c r="I357" s="149"/>
      <c r="J357" s="149"/>
      <c r="K357" s="149"/>
      <c r="L357" s="149"/>
      <c r="M357" s="149"/>
      <c r="N357" s="149"/>
      <c r="O357" s="149"/>
      <c r="P357" s="149"/>
      <c r="Q357" s="151"/>
      <c r="R357" s="149"/>
      <c r="S357" s="151"/>
      <c r="T357" s="151"/>
      <c r="U357" s="152"/>
      <c r="V357" s="153"/>
    </row>
    <row r="358" spans="2:22" x14ac:dyDescent="0.25">
      <c r="B358" s="47" t="s">
        <v>166</v>
      </c>
      <c r="C358" s="50"/>
      <c r="D358" s="50"/>
      <c r="E358" s="50"/>
      <c r="F358" s="137"/>
      <c r="G358" s="138"/>
      <c r="H358" s="139"/>
      <c r="I358" s="136"/>
      <c r="J358" s="136"/>
      <c r="K358" s="136"/>
      <c r="L358" s="136"/>
      <c r="M358" s="136"/>
      <c r="N358" s="136"/>
      <c r="O358" s="136"/>
      <c r="P358" s="136"/>
      <c r="Q358" s="139"/>
      <c r="R358" s="136"/>
      <c r="S358" s="139"/>
      <c r="T358" s="139"/>
      <c r="U358" s="290"/>
      <c r="V358" s="291"/>
    </row>
    <row r="359" spans="2:22" x14ac:dyDescent="0.25">
      <c r="B359" s="47" t="s">
        <v>185</v>
      </c>
      <c r="C359" s="77"/>
      <c r="D359" s="77"/>
      <c r="E359" s="77"/>
      <c r="F359" s="224"/>
      <c r="G359" s="224"/>
      <c r="H359" s="77"/>
      <c r="I359" s="77"/>
      <c r="J359" s="77"/>
      <c r="K359" s="77"/>
      <c r="L359" s="77"/>
      <c r="M359" s="77"/>
      <c r="N359" s="77"/>
      <c r="O359" s="77"/>
      <c r="P359" s="77"/>
      <c r="Q359" s="77"/>
      <c r="R359" s="77"/>
      <c r="S359" s="77"/>
      <c r="T359" s="77"/>
      <c r="U359" s="77"/>
      <c r="V359" s="50"/>
    </row>
    <row r="360" spans="2:22" x14ac:dyDescent="0.25">
      <c r="B360" s="50"/>
      <c r="C360" s="50"/>
      <c r="D360" s="50"/>
      <c r="E360" s="50"/>
      <c r="F360" s="50"/>
      <c r="G360" s="50"/>
      <c r="H360" s="50"/>
      <c r="I360" s="50"/>
      <c r="J360" s="50"/>
      <c r="K360" s="50"/>
      <c r="L360" s="50"/>
      <c r="M360" s="50"/>
      <c r="N360" s="50"/>
      <c r="O360" s="50"/>
      <c r="P360" s="50"/>
      <c r="Q360" s="50"/>
      <c r="R360" s="50"/>
      <c r="S360" s="50"/>
      <c r="T360" s="50"/>
      <c r="U360" s="50"/>
      <c r="V360" s="50"/>
    </row>
    <row r="366" spans="2:22" x14ac:dyDescent="0.25">
      <c r="B366" s="255"/>
      <c r="C366" s="255"/>
      <c r="D366" s="255"/>
      <c r="E366" s="255"/>
      <c r="F366" s="255"/>
      <c r="G366" s="255"/>
      <c r="H366" s="255"/>
      <c r="I366" s="255"/>
      <c r="J366" s="255"/>
      <c r="K366" s="255"/>
      <c r="L366" s="255"/>
      <c r="M366" s="255"/>
      <c r="N366" s="255"/>
      <c r="O366" s="255"/>
      <c r="P366" s="255"/>
      <c r="Q366" s="255"/>
      <c r="R366" s="255"/>
      <c r="S366" s="255"/>
      <c r="T366" s="255"/>
      <c r="U366" s="255"/>
      <c r="V366" s="255"/>
    </row>
    <row r="367" spans="2:22" x14ac:dyDescent="0.25">
      <c r="B367" s="255"/>
      <c r="C367" s="255"/>
      <c r="D367" s="255"/>
      <c r="E367" s="255"/>
      <c r="F367" s="255"/>
      <c r="G367" s="255"/>
      <c r="H367" s="255"/>
      <c r="I367" s="255"/>
      <c r="J367" s="255"/>
      <c r="K367" s="255"/>
      <c r="L367" s="255"/>
      <c r="M367" s="255"/>
      <c r="N367" s="255"/>
      <c r="O367" s="255"/>
      <c r="P367" s="255"/>
      <c r="Q367" s="255"/>
      <c r="R367" s="255"/>
      <c r="S367" s="255"/>
      <c r="T367" s="255"/>
      <c r="U367" s="255"/>
      <c r="V367" s="255"/>
    </row>
  </sheetData>
  <mergeCells count="16">
    <mergeCell ref="S354:T354"/>
    <mergeCell ref="G12:G13"/>
    <mergeCell ref="H12:H13"/>
    <mergeCell ref="S12:T12"/>
    <mergeCell ref="D12:D13"/>
    <mergeCell ref="E12:E13"/>
    <mergeCell ref="B9:I9"/>
    <mergeCell ref="B12:B13"/>
    <mergeCell ref="C12:C13"/>
    <mergeCell ref="F12:F13"/>
    <mergeCell ref="U12:U13"/>
    <mergeCell ref="V12:V13"/>
    <mergeCell ref="I12:I13"/>
    <mergeCell ref="J12:P12"/>
    <mergeCell ref="Q12:Q13"/>
    <mergeCell ref="R12:R13"/>
  </mergeCells>
  <dataValidations disablePrompts="1" count="1">
    <dataValidation allowBlank="1" showInputMessage="1" showErrorMessage="1" sqref="B9:I9 T9"/>
  </dataValidations>
  <printOptions horizontalCentered="1"/>
  <pageMargins left="0.23622047244094491" right="0.23622047244094491" top="0.15748031496062992" bottom="1.3779527559055118"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H44"/>
  <sheetViews>
    <sheetView showGridLines="0" view="pageLayout" topLeftCell="A31" zoomScale="110" zoomScaleNormal="100" zoomScalePageLayoutView="110" workbookViewId="0">
      <selection activeCell="F79" sqref="F79"/>
    </sheetView>
  </sheetViews>
  <sheetFormatPr baseColWidth="10" defaultColWidth="11" defaultRowHeight="15" x14ac:dyDescent="0.25"/>
  <cols>
    <col min="1" max="1" width="2.42578125" style="1" customWidth="1"/>
    <col min="2" max="2" width="20.85546875" style="1" customWidth="1"/>
    <col min="3" max="3" width="26.28515625" style="255" customWidth="1"/>
    <col min="4" max="4" width="16.5703125" style="255" customWidth="1"/>
    <col min="5" max="5" width="17.42578125" style="1" customWidth="1"/>
    <col min="6" max="6" width="23" style="1" customWidth="1"/>
    <col min="7" max="7" width="48.5703125" style="1" customWidth="1"/>
    <col min="8" max="8" width="21.140625" style="1" customWidth="1"/>
    <col min="9" max="16384" width="11" style="1"/>
  </cols>
  <sheetData>
    <row r="1" spans="1:8" ht="18" customHeight="1" x14ac:dyDescent="0.35">
      <c r="B1" s="8"/>
      <c r="C1" s="8"/>
      <c r="D1" s="8"/>
      <c r="E1" s="4"/>
      <c r="F1" s="4"/>
      <c r="G1" s="4"/>
    </row>
    <row r="2" spans="1:8" ht="18" customHeight="1" x14ac:dyDescent="0.35">
      <c r="B2" s="8"/>
      <c r="C2" s="8"/>
      <c r="D2" s="8"/>
      <c r="E2" s="4"/>
      <c r="F2" s="4"/>
      <c r="G2" s="4"/>
    </row>
    <row r="3" spans="1:8" ht="18" customHeight="1" x14ac:dyDescent="0.35">
      <c r="B3" s="8"/>
      <c r="C3" s="8"/>
      <c r="D3" s="8"/>
      <c r="E3" s="4"/>
      <c r="F3" s="4"/>
      <c r="G3" s="4"/>
    </row>
    <row r="4" spans="1:8" ht="18" customHeight="1" x14ac:dyDescent="0.35">
      <c r="B4" s="8"/>
      <c r="C4" s="8"/>
      <c r="D4" s="8"/>
      <c r="E4" s="4"/>
      <c r="F4" s="4"/>
      <c r="G4" s="4"/>
    </row>
    <row r="5" spans="1:8" ht="18" customHeight="1" x14ac:dyDescent="0.35">
      <c r="B5" s="8"/>
      <c r="C5" s="8"/>
      <c r="D5" s="8"/>
      <c r="E5" s="4"/>
      <c r="F5" s="4"/>
      <c r="G5" s="4"/>
    </row>
    <row r="6" spans="1:8" ht="18" customHeight="1" x14ac:dyDescent="0.35">
      <c r="B6" s="8"/>
      <c r="C6" s="8"/>
      <c r="D6" s="8"/>
      <c r="E6" s="4"/>
      <c r="F6" s="4"/>
      <c r="G6" s="4"/>
    </row>
    <row r="7" spans="1:8" ht="18" customHeight="1" x14ac:dyDescent="0.35">
      <c r="B7" s="8"/>
      <c r="C7" s="8"/>
      <c r="D7" s="8"/>
      <c r="E7" s="4"/>
      <c r="F7" s="4"/>
      <c r="G7" s="4"/>
    </row>
    <row r="8" spans="1:8" s="40" customFormat="1" ht="18" customHeight="1" x14ac:dyDescent="0.3">
      <c r="B8" s="41" t="s">
        <v>1945</v>
      </c>
      <c r="C8" s="42"/>
      <c r="D8" s="42"/>
      <c r="E8" s="42"/>
      <c r="F8" s="42"/>
      <c r="G8" s="42" t="s">
        <v>1946</v>
      </c>
      <c r="H8" s="42" t="str">
        <f>'Caratula Resumen'!D25</f>
        <v>3er. Trimestre</v>
      </c>
    </row>
    <row r="9" spans="1:8" s="40" customFormat="1" ht="17.100000000000001" customHeight="1" x14ac:dyDescent="0.3">
      <c r="B9" s="418" t="str">
        <f>'A Y  II D3'!B10:N10</f>
        <v>Fondo de Aportaciones para la Educación Tecnológica y de Adultos/Instituto Nacional para la Educación de los Adultos (FAETA/INEA)</v>
      </c>
      <c r="C9" s="419"/>
      <c r="D9" s="419"/>
      <c r="E9" s="419"/>
      <c r="F9" s="419"/>
      <c r="G9" s="419"/>
      <c r="H9" s="419"/>
    </row>
    <row r="10" spans="1:8" ht="28.5" customHeight="1" x14ac:dyDescent="0.25">
      <c r="B10" s="37"/>
      <c r="C10" s="38"/>
      <c r="D10" s="38"/>
      <c r="E10" s="38"/>
      <c r="F10" s="38"/>
      <c r="G10" s="38"/>
      <c r="H10" s="38"/>
    </row>
    <row r="11" spans="1:8" ht="5.0999999999999996" customHeight="1" x14ac:dyDescent="0.35">
      <c r="B11" s="5"/>
      <c r="C11" s="5"/>
      <c r="D11" s="5"/>
      <c r="E11" s="9"/>
      <c r="F11" s="9"/>
      <c r="G11" s="9"/>
      <c r="H11" s="9"/>
    </row>
    <row r="12" spans="1:8" ht="37.5" customHeight="1" x14ac:dyDescent="0.25">
      <c r="A12" s="449"/>
      <c r="B12" s="412" t="s">
        <v>1939</v>
      </c>
      <c r="C12" s="450" t="s">
        <v>33</v>
      </c>
      <c r="D12" s="450" t="s">
        <v>1940</v>
      </c>
      <c r="E12" s="441" t="s">
        <v>17</v>
      </c>
      <c r="F12" s="441" t="s">
        <v>18</v>
      </c>
      <c r="G12" s="441" t="s">
        <v>37</v>
      </c>
      <c r="H12" s="420" t="s">
        <v>1941</v>
      </c>
    </row>
    <row r="13" spans="1:8" ht="55.5" customHeight="1" x14ac:dyDescent="0.25">
      <c r="A13" s="449"/>
      <c r="B13" s="412"/>
      <c r="C13" s="451"/>
      <c r="D13" s="451"/>
      <c r="E13" s="442"/>
      <c r="F13" s="442"/>
      <c r="G13" s="442"/>
      <c r="H13" s="421"/>
    </row>
    <row r="14" spans="1:8" ht="5.0999999999999996" customHeight="1" x14ac:dyDescent="0.25">
      <c r="B14" s="369"/>
      <c r="C14" s="369"/>
      <c r="D14" s="369"/>
    </row>
    <row r="15" spans="1:8" hidden="1" x14ac:dyDescent="0.25">
      <c r="B15" s="369" t="s">
        <v>0</v>
      </c>
      <c r="C15" s="369" t="s">
        <v>1938</v>
      </c>
      <c r="D15" s="369" t="s">
        <v>1937</v>
      </c>
      <c r="E15" s="370" t="s">
        <v>17</v>
      </c>
      <c r="F15" s="370" t="s">
        <v>18</v>
      </c>
      <c r="G15" s="371" t="s">
        <v>170</v>
      </c>
      <c r="H15" s="370" t="s">
        <v>171</v>
      </c>
    </row>
    <row r="16" spans="1:8" s="255" customFormat="1" x14ac:dyDescent="0.25">
      <c r="B16" s="364" t="s">
        <v>1942</v>
      </c>
      <c r="C16" s="364" t="s">
        <v>1184</v>
      </c>
      <c r="D16" s="364" t="s">
        <v>317</v>
      </c>
      <c r="E16" s="364" t="s">
        <v>684</v>
      </c>
      <c r="F16" s="364" t="s">
        <v>685</v>
      </c>
      <c r="G16" s="364" t="s">
        <v>1761</v>
      </c>
      <c r="H16" s="364" t="s">
        <v>1943</v>
      </c>
    </row>
    <row r="17" spans="2:8" x14ac:dyDescent="0.25">
      <c r="B17" s="364" t="s">
        <v>1942</v>
      </c>
      <c r="C17" s="364" t="s">
        <v>1184</v>
      </c>
      <c r="D17" s="364" t="s">
        <v>317</v>
      </c>
      <c r="E17" s="364" t="s">
        <v>684</v>
      </c>
      <c r="F17" s="364" t="s">
        <v>685</v>
      </c>
      <c r="G17" s="364" t="s">
        <v>1761</v>
      </c>
      <c r="H17" s="364" t="s">
        <v>1944</v>
      </c>
    </row>
    <row r="18" spans="2:8" x14ac:dyDescent="0.25">
      <c r="B18" s="364" t="s">
        <v>1942</v>
      </c>
      <c r="C18" s="364" t="s">
        <v>1184</v>
      </c>
      <c r="D18" s="364" t="s">
        <v>317</v>
      </c>
      <c r="E18" s="364" t="s">
        <v>684</v>
      </c>
      <c r="F18" s="364" t="s">
        <v>685</v>
      </c>
      <c r="G18" s="364" t="s">
        <v>1761</v>
      </c>
      <c r="H18" s="364" t="s">
        <v>1943</v>
      </c>
    </row>
    <row r="19" spans="2:8" x14ac:dyDescent="0.25">
      <c r="B19" s="364" t="s">
        <v>1942</v>
      </c>
      <c r="C19" s="364" t="s">
        <v>1184</v>
      </c>
      <c r="D19" s="364" t="s">
        <v>317</v>
      </c>
      <c r="E19" s="364" t="s">
        <v>620</v>
      </c>
      <c r="F19" s="364" t="s">
        <v>621</v>
      </c>
      <c r="G19" s="364" t="s">
        <v>1762</v>
      </c>
      <c r="H19" s="364" t="s">
        <v>1943</v>
      </c>
    </row>
    <row r="20" spans="2:8" x14ac:dyDescent="0.25">
      <c r="B20" s="364" t="s">
        <v>1942</v>
      </c>
      <c r="C20" s="364" t="s">
        <v>1533</v>
      </c>
      <c r="D20" s="364" t="s">
        <v>318</v>
      </c>
      <c r="E20" s="364" t="s">
        <v>1724</v>
      </c>
      <c r="F20" s="364" t="s">
        <v>1725</v>
      </c>
      <c r="G20" s="364" t="s">
        <v>1763</v>
      </c>
      <c r="H20" s="364" t="s">
        <v>1944</v>
      </c>
    </row>
    <row r="21" spans="2:8" x14ac:dyDescent="0.25">
      <c r="B21" s="364" t="s">
        <v>1942</v>
      </c>
      <c r="C21" s="364" t="s">
        <v>1765</v>
      </c>
      <c r="D21" s="364" t="s">
        <v>771</v>
      </c>
      <c r="E21" s="364" t="s">
        <v>1600</v>
      </c>
      <c r="F21" s="364" t="s">
        <v>1601</v>
      </c>
      <c r="G21" s="364" t="s">
        <v>1764</v>
      </c>
      <c r="H21" s="364" t="s">
        <v>1943</v>
      </c>
    </row>
    <row r="22" spans="2:8" x14ac:dyDescent="0.25">
      <c r="B22" s="364" t="s">
        <v>1942</v>
      </c>
      <c r="C22" s="364" t="s">
        <v>1184</v>
      </c>
      <c r="D22" s="364" t="s">
        <v>317</v>
      </c>
      <c r="E22" s="364" t="s">
        <v>1602</v>
      </c>
      <c r="F22" s="364" t="s">
        <v>1696</v>
      </c>
      <c r="G22" s="364" t="s">
        <v>1642</v>
      </c>
      <c r="H22" s="364" t="s">
        <v>1943</v>
      </c>
    </row>
    <row r="23" spans="2:8" x14ac:dyDescent="0.25">
      <c r="B23" s="364" t="s">
        <v>1942</v>
      </c>
      <c r="C23" s="364" t="s">
        <v>1641</v>
      </c>
      <c r="D23" s="364" t="s">
        <v>771</v>
      </c>
      <c r="E23" s="364" t="s">
        <v>1613</v>
      </c>
      <c r="F23" s="364" t="s">
        <v>1614</v>
      </c>
      <c r="G23" s="364" t="s">
        <v>1766</v>
      </c>
      <c r="H23" s="364" t="s">
        <v>1943</v>
      </c>
    </row>
    <row r="24" spans="2:8" x14ac:dyDescent="0.25">
      <c r="B24" s="364" t="s">
        <v>1942</v>
      </c>
      <c r="C24" s="364" t="s">
        <v>1184</v>
      </c>
      <c r="D24" s="364" t="s">
        <v>317</v>
      </c>
      <c r="E24" s="364" t="s">
        <v>1621</v>
      </c>
      <c r="F24" s="364" t="s">
        <v>1622</v>
      </c>
      <c r="G24" s="364" t="s">
        <v>1767</v>
      </c>
      <c r="H24" s="364" t="s">
        <v>1943</v>
      </c>
    </row>
    <row r="25" spans="2:8" x14ac:dyDescent="0.25">
      <c r="B25" s="364" t="s">
        <v>1942</v>
      </c>
      <c r="C25" s="364" t="s">
        <v>1184</v>
      </c>
      <c r="D25" s="364" t="s">
        <v>317</v>
      </c>
      <c r="E25" s="364" t="s">
        <v>1629</v>
      </c>
      <c r="F25" s="364" t="s">
        <v>1630</v>
      </c>
      <c r="G25" s="364" t="s">
        <v>1768</v>
      </c>
      <c r="H25" s="364" t="s">
        <v>1943</v>
      </c>
    </row>
    <row r="26" spans="2:8" x14ac:dyDescent="0.25">
      <c r="B26" s="364" t="s">
        <v>1942</v>
      </c>
      <c r="C26" s="364" t="s">
        <v>1184</v>
      </c>
      <c r="D26" s="364" t="s">
        <v>317</v>
      </c>
      <c r="E26" s="364" t="s">
        <v>1697</v>
      </c>
      <c r="F26" s="364" t="s">
        <v>1698</v>
      </c>
      <c r="G26" s="364" t="s">
        <v>1717</v>
      </c>
      <c r="H26" s="364" t="s">
        <v>1943</v>
      </c>
    </row>
    <row r="27" spans="2:8" x14ac:dyDescent="0.25">
      <c r="B27" s="364" t="s">
        <v>1942</v>
      </c>
      <c r="C27" s="364" t="s">
        <v>1184</v>
      </c>
      <c r="D27" s="364" t="s">
        <v>317</v>
      </c>
      <c r="E27" s="364" t="s">
        <v>1728</v>
      </c>
      <c r="F27" s="364" t="s">
        <v>1729</v>
      </c>
      <c r="G27" s="364" t="s">
        <v>1769</v>
      </c>
      <c r="H27" s="364" t="s">
        <v>1944</v>
      </c>
    </row>
    <row r="28" spans="2:8" x14ac:dyDescent="0.25">
      <c r="B28" s="364" t="s">
        <v>1942</v>
      </c>
      <c r="C28" s="364" t="s">
        <v>1184</v>
      </c>
      <c r="D28" s="364" t="s">
        <v>317</v>
      </c>
      <c r="E28" s="364" t="s">
        <v>1682</v>
      </c>
      <c r="F28" s="364" t="s">
        <v>1683</v>
      </c>
      <c r="G28" s="364" t="s">
        <v>1770</v>
      </c>
      <c r="H28" s="364" t="s">
        <v>1944</v>
      </c>
    </row>
    <row r="29" spans="2:8" x14ac:dyDescent="0.25">
      <c r="B29" s="364" t="s">
        <v>1942</v>
      </c>
      <c r="C29" s="364" t="s">
        <v>1641</v>
      </c>
      <c r="D29" s="364" t="s">
        <v>771</v>
      </c>
      <c r="E29" s="364" t="s">
        <v>1732</v>
      </c>
      <c r="F29" s="364" t="s">
        <v>1733</v>
      </c>
      <c r="G29" s="364" t="s">
        <v>1771</v>
      </c>
      <c r="H29" s="364" t="s">
        <v>1944</v>
      </c>
    </row>
    <row r="30" spans="2:8" x14ac:dyDescent="0.25">
      <c r="B30" s="364" t="s">
        <v>1942</v>
      </c>
      <c r="C30" s="364" t="s">
        <v>1640</v>
      </c>
      <c r="D30" s="364" t="s">
        <v>764</v>
      </c>
      <c r="E30" s="364" t="s">
        <v>1735</v>
      </c>
      <c r="F30" s="364" t="s">
        <v>1736</v>
      </c>
      <c r="G30" s="364" t="s">
        <v>1772</v>
      </c>
      <c r="H30" s="364" t="s">
        <v>1944</v>
      </c>
    </row>
    <row r="31" spans="2:8" x14ac:dyDescent="0.25">
      <c r="B31" s="364" t="s">
        <v>1942</v>
      </c>
      <c r="C31" s="364" t="s">
        <v>1184</v>
      </c>
      <c r="D31" s="364" t="s">
        <v>317</v>
      </c>
      <c r="E31" s="364" t="s">
        <v>1738</v>
      </c>
      <c r="F31" s="364" t="s">
        <v>1739</v>
      </c>
      <c r="G31" s="364" t="s">
        <v>1773</v>
      </c>
      <c r="H31" s="364" t="s">
        <v>1944</v>
      </c>
    </row>
    <row r="32" spans="2:8" x14ac:dyDescent="0.25">
      <c r="B32" s="364" t="s">
        <v>1942</v>
      </c>
      <c r="C32" s="364" t="s">
        <v>1184</v>
      </c>
      <c r="D32" s="364" t="s">
        <v>317</v>
      </c>
      <c r="E32" s="364" t="s">
        <v>1741</v>
      </c>
      <c r="F32" s="364" t="s">
        <v>1742</v>
      </c>
      <c r="G32" s="364" t="s">
        <v>1774</v>
      </c>
      <c r="H32" s="364" t="s">
        <v>1944</v>
      </c>
    </row>
    <row r="33" spans="2:8" x14ac:dyDescent="0.25">
      <c r="B33" s="364" t="s">
        <v>1942</v>
      </c>
      <c r="C33" s="364" t="s">
        <v>1716</v>
      </c>
      <c r="D33" s="364" t="s">
        <v>759</v>
      </c>
      <c r="E33" s="364" t="s">
        <v>1744</v>
      </c>
      <c r="F33" s="364" t="s">
        <v>1745</v>
      </c>
      <c r="G33" s="364" t="s">
        <v>1775</v>
      </c>
      <c r="H33" s="364" t="s">
        <v>1944</v>
      </c>
    </row>
    <row r="34" spans="2:8" x14ac:dyDescent="0.25">
      <c r="B34" s="364" t="s">
        <v>1942</v>
      </c>
      <c r="C34" s="364" t="s">
        <v>1184</v>
      </c>
      <c r="D34" s="364" t="s">
        <v>317</v>
      </c>
      <c r="E34" s="364" t="s">
        <v>1747</v>
      </c>
      <c r="F34" s="364" t="s">
        <v>1748</v>
      </c>
      <c r="G34" s="364" t="s">
        <v>1776</v>
      </c>
      <c r="H34" s="364" t="s">
        <v>1944</v>
      </c>
    </row>
    <row r="35" spans="2:8" x14ac:dyDescent="0.25">
      <c r="B35" s="364" t="s">
        <v>1942</v>
      </c>
      <c r="C35" s="364" t="s">
        <v>1184</v>
      </c>
      <c r="D35" s="364" t="s">
        <v>317</v>
      </c>
      <c r="E35" s="364" t="s">
        <v>1750</v>
      </c>
      <c r="F35" s="364" t="s">
        <v>1751</v>
      </c>
      <c r="G35" s="364" t="s">
        <v>1777</v>
      </c>
      <c r="H35" s="364" t="s">
        <v>1944</v>
      </c>
    </row>
    <row r="36" spans="2:8" x14ac:dyDescent="0.25">
      <c r="B36" s="364" t="s">
        <v>1942</v>
      </c>
      <c r="C36" s="364" t="s">
        <v>1533</v>
      </c>
      <c r="D36" s="364" t="s">
        <v>318</v>
      </c>
      <c r="E36" s="364" t="s">
        <v>1753</v>
      </c>
      <c r="F36" s="364" t="s">
        <v>1754</v>
      </c>
      <c r="G36" s="364" t="s">
        <v>1778</v>
      </c>
      <c r="H36" s="364" t="s">
        <v>1944</v>
      </c>
    </row>
    <row r="37" spans="2:8" x14ac:dyDescent="0.25">
      <c r="B37" s="364" t="s">
        <v>1942</v>
      </c>
      <c r="C37" s="364" t="s">
        <v>1641</v>
      </c>
      <c r="D37" s="364" t="s">
        <v>771</v>
      </c>
      <c r="E37" s="364" t="s">
        <v>1756</v>
      </c>
      <c r="F37" s="364" t="s">
        <v>1757</v>
      </c>
      <c r="G37" s="364" t="s">
        <v>1779</v>
      </c>
      <c r="H37" s="364" t="s">
        <v>1944</v>
      </c>
    </row>
    <row r="38" spans="2:8" x14ac:dyDescent="0.25">
      <c r="B38" s="364" t="s">
        <v>1942</v>
      </c>
      <c r="C38" s="364" t="s">
        <v>1533</v>
      </c>
      <c r="D38" s="364" t="s">
        <v>318</v>
      </c>
      <c r="E38" s="364" t="s">
        <v>1531</v>
      </c>
      <c r="F38" s="364" t="s">
        <v>1532</v>
      </c>
      <c r="G38" s="364" t="s">
        <v>1780</v>
      </c>
      <c r="H38" s="364" t="s">
        <v>1943</v>
      </c>
    </row>
    <row r="39" spans="2:8" x14ac:dyDescent="0.25">
      <c r="B39" s="253" t="s">
        <v>136</v>
      </c>
      <c r="C39" s="405"/>
      <c r="D39" s="405"/>
      <c r="E39" s="269">
        <v>23</v>
      </c>
      <c r="G39" s="140"/>
      <c r="H39" s="140"/>
    </row>
    <row r="40" spans="2:8" x14ac:dyDescent="0.25">
      <c r="B40" s="145"/>
      <c r="C40" s="136"/>
      <c r="D40" s="136"/>
      <c r="E40" s="137"/>
      <c r="F40" s="136"/>
      <c r="G40" s="137"/>
      <c r="H40" s="137"/>
    </row>
    <row r="41" spans="2:8" x14ac:dyDescent="0.25">
      <c r="B41" s="145"/>
      <c r="C41" s="136"/>
      <c r="D41" s="136"/>
      <c r="E41" s="137"/>
      <c r="F41" s="136"/>
      <c r="G41" s="137"/>
      <c r="H41" s="137"/>
    </row>
    <row r="42" spans="2:8" x14ac:dyDescent="0.25">
      <c r="B42" s="147"/>
      <c r="C42" s="149"/>
      <c r="D42" s="149"/>
      <c r="E42" s="148"/>
      <c r="F42" s="149"/>
      <c r="G42" s="238"/>
      <c r="H42" s="148"/>
    </row>
    <row r="43" spans="2:8" x14ac:dyDescent="0.25">
      <c r="B43" s="47" t="s">
        <v>152</v>
      </c>
      <c r="C43" s="300"/>
      <c r="D43" s="300"/>
      <c r="E43" s="50"/>
      <c r="F43" s="50"/>
      <c r="G43" s="222"/>
      <c r="H43" s="50"/>
    </row>
    <row r="44" spans="2:8" x14ac:dyDescent="0.25">
      <c r="B44" s="50"/>
      <c r="C44" s="301"/>
      <c r="D44" s="301"/>
      <c r="E44" s="50"/>
      <c r="F44" s="50"/>
      <c r="G44" s="222"/>
      <c r="H44" s="50"/>
    </row>
  </sheetData>
  <mergeCells count="9">
    <mergeCell ref="B9:H9"/>
    <mergeCell ref="A12:A13"/>
    <mergeCell ref="B12:B13"/>
    <mergeCell ref="H12:H13"/>
    <mergeCell ref="E12:E13"/>
    <mergeCell ref="F12:F13"/>
    <mergeCell ref="G12:G13"/>
    <mergeCell ref="C12:C13"/>
    <mergeCell ref="D12:D13"/>
  </mergeCells>
  <dataValidations count="1">
    <dataValidation allowBlank="1" showInputMessage="1" showErrorMessage="1" sqref="B9:H9"/>
  </dataValidations>
  <printOptions horizontalCentered="1"/>
  <pageMargins left="0.23622047244094491" right="0.23622047244094491" top="0.15748031496062992" bottom="1.5748031496062993"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8"/>
  <sheetViews>
    <sheetView showGridLines="0" view="pageLayout" zoomScale="85" zoomScaleNormal="80" zoomScalePageLayoutView="85" workbookViewId="0">
      <selection activeCell="F79" sqref="F79"/>
    </sheetView>
  </sheetViews>
  <sheetFormatPr baseColWidth="10" defaultRowHeight="15" x14ac:dyDescent="0.25"/>
  <cols>
    <col min="1" max="1" width="2.42578125" style="12" customWidth="1"/>
    <col min="2" max="2" width="14.7109375" style="12" customWidth="1"/>
    <col min="3" max="3" width="18" style="12" customWidth="1"/>
    <col min="4" max="4" width="24.42578125" style="12" customWidth="1"/>
    <col min="5" max="5" width="44.28515625" style="12" customWidth="1"/>
    <col min="6" max="6" width="13.85546875" style="12" customWidth="1"/>
    <col min="7" max="7" width="10.5703125" style="12" customWidth="1"/>
    <col min="8" max="8" width="11.85546875" style="12" customWidth="1"/>
    <col min="9" max="9" width="10.42578125" style="12" customWidth="1"/>
    <col min="10" max="10" width="9.28515625" style="12" customWidth="1"/>
    <col min="11" max="11" width="8" style="12" customWidth="1"/>
    <col min="12" max="12" width="12.7109375" style="12" customWidth="1"/>
    <col min="13" max="13" width="9.7109375" style="12" customWidth="1"/>
    <col min="14" max="14" width="8.85546875" style="12" customWidth="1"/>
    <col min="15" max="16" width="11.7109375" style="12" customWidth="1"/>
    <col min="17" max="17" width="13.28515625" style="12" customWidth="1"/>
    <col min="18" max="226" width="11.42578125" style="12"/>
    <col min="227" max="227" width="3.7109375" style="12" customWidth="1"/>
    <col min="228" max="228" width="16.7109375" style="12" customWidth="1"/>
    <col min="229" max="229" width="17.140625" style="12" customWidth="1"/>
    <col min="230" max="230" width="22.42578125" style="12" bestFit="1" customWidth="1"/>
    <col min="231" max="231" width="38.140625" style="12" bestFit="1" customWidth="1"/>
    <col min="232" max="232" width="13.42578125" style="12" customWidth="1"/>
    <col min="233" max="233" width="14.7109375" style="12" customWidth="1"/>
    <col min="234" max="234" width="12.42578125" style="12" customWidth="1"/>
    <col min="235" max="235" width="10" style="12" customWidth="1"/>
    <col min="236" max="236" width="9.7109375" style="12" customWidth="1"/>
    <col min="237" max="237" width="10.7109375" style="12" customWidth="1"/>
    <col min="238" max="238" width="9.140625" style="12" customWidth="1"/>
    <col min="239" max="239" width="10.140625" style="12" customWidth="1"/>
    <col min="240" max="240" width="9.42578125" style="12" customWidth="1"/>
    <col min="241" max="242" width="13" style="12" customWidth="1"/>
    <col min="243" max="243" width="18.28515625" style="12" customWidth="1"/>
    <col min="244" max="16384" width="11.42578125" style="12"/>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1" t="s">
        <v>143</v>
      </c>
      <c r="C9" s="42"/>
      <c r="D9" s="42"/>
      <c r="E9" s="42"/>
      <c r="F9" s="42"/>
      <c r="G9" s="42"/>
      <c r="H9" s="42"/>
      <c r="I9" s="42"/>
      <c r="J9" s="42"/>
      <c r="K9" s="42"/>
      <c r="L9" s="42"/>
      <c r="M9" s="42"/>
      <c r="N9" s="42"/>
      <c r="O9" s="42"/>
      <c r="P9" s="387" t="str">
        <f>'A Y  II D3'!W9</f>
        <v>Entidad Federativa:</v>
      </c>
      <c r="Q9" s="386" t="str">
        <f>'A Y  II D3'!X9</f>
        <v>GUANAJUATO</v>
      </c>
    </row>
    <row r="10" spans="1:223" ht="18.75" x14ac:dyDescent="0.3">
      <c r="B10" s="418" t="str">
        <f>'A Y  II D3'!B10:N10</f>
        <v>Fondo de Aportaciones para la Educación Tecnológica y de Adultos/Instituto Nacional para la Educación de los Adultos (FAETA/INEA)</v>
      </c>
      <c r="C10" s="419"/>
      <c r="D10" s="419"/>
      <c r="E10" s="419"/>
      <c r="F10" s="419"/>
      <c r="G10" s="419"/>
      <c r="H10" s="419"/>
      <c r="I10" s="419"/>
      <c r="J10" s="419"/>
      <c r="K10" s="44"/>
      <c r="L10" s="44"/>
      <c r="M10" s="44"/>
      <c r="N10" s="44"/>
      <c r="O10" s="262"/>
      <c r="P10" s="44" t="str">
        <f>'A Y  II D3'!X10</f>
        <v>3er. Trimestre 2019</v>
      </c>
      <c r="Q10" s="45"/>
    </row>
    <row r="11" spans="1:223" x14ac:dyDescent="0.25">
      <c r="B11" s="37"/>
      <c r="C11" s="38"/>
      <c r="D11" s="38"/>
      <c r="E11" s="38"/>
      <c r="F11" s="38"/>
      <c r="G11" s="38"/>
      <c r="H11" s="38"/>
      <c r="I11" s="38"/>
      <c r="J11" s="38"/>
      <c r="K11" s="38"/>
      <c r="L11" s="38"/>
      <c r="M11" s="38"/>
      <c r="N11" s="38"/>
      <c r="O11" s="38"/>
      <c r="P11" s="38"/>
      <c r="Q11" s="46"/>
    </row>
    <row r="12" spans="1:223" ht="5.0999999999999996" customHeight="1" x14ac:dyDescent="0.35">
      <c r="B12" s="13"/>
      <c r="C12" s="13"/>
      <c r="D12" s="14"/>
      <c r="E12" s="14"/>
      <c r="F12" s="14"/>
      <c r="G12" s="14"/>
      <c r="H12" s="14"/>
      <c r="I12" s="14"/>
      <c r="J12" s="14"/>
      <c r="K12" s="14"/>
      <c r="L12" s="14"/>
      <c r="M12" s="14"/>
      <c r="N12" s="14"/>
      <c r="O12" s="15"/>
      <c r="P12" s="15"/>
    </row>
    <row r="13" spans="1:223" ht="15" customHeight="1" x14ac:dyDescent="0.25">
      <c r="A13" s="452"/>
      <c r="B13" s="412" t="s">
        <v>0</v>
      </c>
      <c r="C13" s="445" t="s">
        <v>44</v>
      </c>
      <c r="D13" s="445" t="s">
        <v>18</v>
      </c>
      <c r="E13" s="445" t="s">
        <v>59</v>
      </c>
      <c r="F13" s="441" t="s">
        <v>14</v>
      </c>
      <c r="G13" s="445" t="s">
        <v>142</v>
      </c>
      <c r="H13" s="453" t="s">
        <v>61</v>
      </c>
      <c r="I13" s="454"/>
      <c r="J13" s="454"/>
      <c r="K13" s="454"/>
      <c r="L13" s="454"/>
      <c r="M13" s="454"/>
      <c r="N13" s="455"/>
      <c r="O13" s="456" t="s">
        <v>62</v>
      </c>
      <c r="P13" s="457"/>
      <c r="Q13" s="445" t="s">
        <v>63</v>
      </c>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row>
    <row r="14" spans="1:223" ht="69.75" customHeight="1" x14ac:dyDescent="0.25">
      <c r="A14" s="452"/>
      <c r="B14" s="412"/>
      <c r="C14" s="446"/>
      <c r="D14" s="446"/>
      <c r="E14" s="446"/>
      <c r="F14" s="442"/>
      <c r="G14" s="446"/>
      <c r="H14" s="283" t="s">
        <v>33</v>
      </c>
      <c r="I14" s="283" t="s">
        <v>32</v>
      </c>
      <c r="J14" s="283" t="s">
        <v>31</v>
      </c>
      <c r="K14" s="283" t="s">
        <v>30</v>
      </c>
      <c r="L14" s="283" t="s">
        <v>29</v>
      </c>
      <c r="M14" s="284" t="s">
        <v>54</v>
      </c>
      <c r="N14" s="283" t="s">
        <v>55</v>
      </c>
      <c r="O14" s="286" t="s">
        <v>56</v>
      </c>
      <c r="P14" s="286" t="s">
        <v>57</v>
      </c>
      <c r="Q14" s="44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row>
    <row r="15" spans="1:223" ht="6" customHeight="1" x14ac:dyDescent="0.25">
      <c r="B15" s="16"/>
      <c r="C15" s="17"/>
      <c r="D15" s="17"/>
      <c r="E15" s="17"/>
      <c r="F15" s="17"/>
      <c r="G15" s="17"/>
      <c r="H15" s="17"/>
      <c r="I15" s="17"/>
      <c r="J15" s="17"/>
      <c r="K15" s="17"/>
      <c r="L15" s="17"/>
      <c r="M15" s="17"/>
      <c r="N15" s="17"/>
      <c r="O15" s="18"/>
      <c r="P15" s="19"/>
    </row>
    <row r="16" spans="1:223" ht="63.75" hidden="1" x14ac:dyDescent="0.25">
      <c r="B16" s="212" t="s">
        <v>0</v>
      </c>
      <c r="C16" s="212" t="s">
        <v>44</v>
      </c>
      <c r="D16" s="212" t="s">
        <v>18</v>
      </c>
      <c r="E16" s="212" t="s">
        <v>59</v>
      </c>
      <c r="F16" s="212" t="s">
        <v>60</v>
      </c>
      <c r="G16" s="212" t="s">
        <v>142</v>
      </c>
      <c r="H16" s="197" t="s">
        <v>33</v>
      </c>
      <c r="I16" s="197" t="s">
        <v>32</v>
      </c>
      <c r="J16" s="197" t="s">
        <v>31</v>
      </c>
      <c r="K16" s="197" t="s">
        <v>30</v>
      </c>
      <c r="L16" s="197" t="s">
        <v>29</v>
      </c>
      <c r="M16" s="197" t="s">
        <v>54</v>
      </c>
      <c r="N16" s="197" t="s">
        <v>55</v>
      </c>
      <c r="O16" s="197" t="s">
        <v>224</v>
      </c>
      <c r="P16" s="197" t="s">
        <v>225</v>
      </c>
      <c r="Q16" s="212" t="s">
        <v>63</v>
      </c>
    </row>
    <row r="17" spans="2:17" x14ac:dyDescent="0.25">
      <c r="B17" s="348"/>
      <c r="C17" s="349"/>
      <c r="D17" s="349"/>
      <c r="E17" s="350"/>
      <c r="F17" s="349"/>
      <c r="G17" s="349"/>
      <c r="H17" s="351"/>
      <c r="I17" s="352"/>
      <c r="J17" s="351"/>
      <c r="K17" s="351"/>
      <c r="L17" s="351"/>
      <c r="M17" s="351"/>
      <c r="N17" s="351"/>
      <c r="O17" s="351"/>
      <c r="P17" s="351"/>
      <c r="Q17" s="353"/>
    </row>
    <row r="18" spans="2:17" x14ac:dyDescent="0.25">
      <c r="B18" s="348"/>
      <c r="C18" s="349"/>
      <c r="D18" s="349"/>
      <c r="E18" s="350"/>
      <c r="F18" s="349"/>
      <c r="G18" s="349"/>
      <c r="H18" s="351"/>
      <c r="I18" s="352"/>
      <c r="J18" s="351"/>
      <c r="K18" s="351"/>
      <c r="L18" s="351"/>
      <c r="M18" s="351"/>
      <c r="N18" s="351"/>
      <c r="O18" s="351"/>
      <c r="P18" s="351"/>
      <c r="Q18" s="353"/>
    </row>
    <row r="19" spans="2:17" x14ac:dyDescent="0.25">
      <c r="B19" s="348"/>
      <c r="C19" s="349"/>
      <c r="D19" s="349"/>
      <c r="E19" s="350"/>
      <c r="F19" s="349"/>
      <c r="G19" s="349"/>
      <c r="H19" s="351"/>
      <c r="I19" s="352"/>
      <c r="J19" s="351"/>
      <c r="K19" s="351"/>
      <c r="L19" s="351"/>
      <c r="M19" s="351"/>
      <c r="N19" s="351"/>
      <c r="O19" s="351"/>
      <c r="P19" s="351"/>
      <c r="Q19" s="353"/>
    </row>
    <row r="20" spans="2:17" x14ac:dyDescent="0.25">
      <c r="B20" s="348"/>
      <c r="C20" s="349"/>
      <c r="D20" s="349"/>
      <c r="E20" s="350"/>
      <c r="F20" s="349"/>
      <c r="G20" s="349"/>
      <c r="H20" s="351"/>
      <c r="I20" s="352"/>
      <c r="J20" s="351"/>
      <c r="K20" s="351"/>
      <c r="L20" s="351"/>
      <c r="M20" s="351"/>
      <c r="N20" s="351"/>
      <c r="O20" s="351"/>
      <c r="P20" s="351"/>
      <c r="Q20" s="353"/>
    </row>
    <row r="21" spans="2:17" x14ac:dyDescent="0.25">
      <c r="B21" s="314"/>
      <c r="C21" s="312"/>
      <c r="D21" s="312"/>
      <c r="E21" s="315"/>
      <c r="F21" s="312"/>
      <c r="G21" s="312"/>
      <c r="H21" s="316"/>
      <c r="I21" s="313"/>
      <c r="J21" s="316"/>
      <c r="K21" s="316"/>
      <c r="L21" s="316"/>
      <c r="M21" s="316"/>
      <c r="N21" s="316"/>
      <c r="O21" s="316"/>
      <c r="P21" s="316"/>
      <c r="Q21" s="317"/>
    </row>
    <row r="22" spans="2:17" x14ac:dyDescent="0.25">
      <c r="B22" s="106" t="s">
        <v>136</v>
      </c>
      <c r="C22" s="269"/>
      <c r="D22" s="85"/>
      <c r="E22" s="85"/>
      <c r="F22" s="85"/>
      <c r="G22" s="85"/>
      <c r="H22" s="85"/>
      <c r="I22" s="105"/>
      <c r="J22" s="85"/>
      <c r="L22" s="85" t="s">
        <v>137</v>
      </c>
      <c r="M22" s="105"/>
      <c r="N22" s="269"/>
      <c r="O22" s="118"/>
      <c r="P22" s="155"/>
      <c r="Q22" s="108"/>
    </row>
    <row r="23" spans="2:17" x14ac:dyDescent="0.25">
      <c r="B23" s="68"/>
      <c r="C23" s="69"/>
      <c r="D23" s="69"/>
      <c r="E23" s="69"/>
      <c r="F23" s="69"/>
      <c r="G23" s="69"/>
      <c r="H23" s="69"/>
      <c r="I23" s="69"/>
      <c r="J23" s="69"/>
      <c r="K23" s="82"/>
      <c r="L23" s="59"/>
      <c r="M23" s="59"/>
      <c r="N23" s="59"/>
      <c r="O23" s="59"/>
      <c r="P23" s="59"/>
      <c r="Q23" s="67"/>
    </row>
    <row r="24" spans="2:17" x14ac:dyDescent="0.25">
      <c r="B24" s="68"/>
      <c r="C24" s="69"/>
      <c r="D24" s="69"/>
      <c r="E24" s="69"/>
      <c r="F24" s="69"/>
      <c r="G24" s="69"/>
      <c r="H24" s="69"/>
      <c r="I24" s="69"/>
      <c r="J24" s="69"/>
      <c r="K24" s="82"/>
      <c r="L24" s="59"/>
      <c r="M24" s="59"/>
      <c r="N24" s="416"/>
      <c r="O24" s="416"/>
      <c r="P24" s="59"/>
      <c r="Q24" s="156"/>
    </row>
    <row r="25" spans="2:17" x14ac:dyDescent="0.25">
      <c r="B25" s="70"/>
      <c r="C25" s="71"/>
      <c r="D25" s="71"/>
      <c r="E25" s="71"/>
      <c r="F25" s="71"/>
      <c r="G25" s="71"/>
      <c r="H25" s="71"/>
      <c r="I25" s="71"/>
      <c r="J25" s="71"/>
      <c r="K25" s="71"/>
      <c r="L25" s="71"/>
      <c r="M25" s="71"/>
      <c r="N25" s="71"/>
      <c r="O25" s="71"/>
      <c r="P25" s="71"/>
      <c r="Q25" s="72"/>
    </row>
    <row r="26" spans="2:17" x14ac:dyDescent="0.25">
      <c r="B26" s="47" t="s">
        <v>152</v>
      </c>
      <c r="C26" s="48"/>
      <c r="D26" s="48"/>
      <c r="E26" s="223"/>
      <c r="F26" s="48"/>
      <c r="G26" s="48"/>
      <c r="H26" s="48"/>
      <c r="I26" s="48"/>
      <c r="J26" s="48"/>
      <c r="K26" s="48"/>
      <c r="L26" s="48"/>
      <c r="M26" s="48"/>
      <c r="N26" s="48"/>
      <c r="O26" s="48"/>
      <c r="P26" s="48"/>
      <c r="Q26" s="48"/>
    </row>
    <row r="27" spans="2:17" x14ac:dyDescent="0.25">
      <c r="B27" s="292" t="s">
        <v>232</v>
      </c>
      <c r="C27" s="292"/>
      <c r="D27" s="292"/>
      <c r="E27" s="292"/>
      <c r="F27" s="293"/>
      <c r="G27" s="293"/>
      <c r="H27" s="293"/>
      <c r="I27" s="293"/>
      <c r="J27" s="293"/>
    </row>
    <row r="28" spans="2:17" x14ac:dyDescent="0.25">
      <c r="B28" s="53"/>
      <c r="C28" s="48"/>
      <c r="D28" s="48"/>
    </row>
  </sheetData>
  <sheetProtection formatCells="0" formatColumns="0" formatRows="0" insertColumns="0" insertRows="0" insertHyperlinks="0" deleteColumns="0" deleteRows="0"/>
  <mergeCells count="12">
    <mergeCell ref="N24:O24"/>
    <mergeCell ref="A13:A14"/>
    <mergeCell ref="G13:G14"/>
    <mergeCell ref="H13:N13"/>
    <mergeCell ref="O13:P13"/>
    <mergeCell ref="C13:C14"/>
    <mergeCell ref="B13:B14"/>
    <mergeCell ref="Q13:Q14"/>
    <mergeCell ref="F13:F14"/>
    <mergeCell ref="E13:E14"/>
    <mergeCell ref="D13:D14"/>
    <mergeCell ref="B10:J10"/>
  </mergeCells>
  <dataValidations disablePrompts="1" count="1">
    <dataValidation allowBlank="1" showInputMessage="1" showErrorMessage="1" sqref="O10 B10:J10"/>
  </dataValidations>
  <printOptions horizontalCentered="1"/>
  <pageMargins left="0.23622047244094491" right="0.23622047244094491" top="0.15748031496062992" bottom="1.4960629921259843" header="0" footer="0"/>
  <pageSetup paperSize="14" scale="54"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8"/>
  <sheetViews>
    <sheetView showGridLines="0" view="pageLayout" zoomScale="70" zoomScaleNormal="80" zoomScalePageLayoutView="70" workbookViewId="0">
      <selection activeCell="F79" sqref="F79"/>
    </sheetView>
  </sheetViews>
  <sheetFormatPr baseColWidth="10" defaultRowHeight="15" x14ac:dyDescent="0.25"/>
  <cols>
    <col min="1" max="1" width="3.7109375" style="12" customWidth="1"/>
    <col min="2" max="2" width="18.28515625" style="12" customWidth="1"/>
    <col min="3" max="3" width="15.85546875" style="12" customWidth="1"/>
    <col min="4" max="4" width="23" style="12" customWidth="1"/>
    <col min="5" max="5" width="48.28515625" style="12" customWidth="1"/>
    <col min="6" max="6" width="29.85546875" style="12" customWidth="1"/>
    <col min="7" max="7" width="12" style="12" customWidth="1"/>
    <col min="8" max="8" width="8" style="12" customWidth="1"/>
    <col min="9" max="9" width="9.5703125" style="12" customWidth="1"/>
    <col min="10" max="10" width="9.140625" style="12" customWidth="1"/>
    <col min="11" max="11" width="10.140625" style="12" customWidth="1"/>
    <col min="12" max="12" width="9.140625" style="12" customWidth="1"/>
    <col min="13" max="13" width="13.140625" style="12" customWidth="1"/>
    <col min="14" max="15" width="12.28515625" style="12" customWidth="1"/>
    <col min="16" max="17" width="15.28515625" style="12" customWidth="1"/>
    <col min="18" max="18" width="22.28515625" style="12" customWidth="1"/>
    <col min="19" max="16384" width="11.42578125" style="12"/>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1" t="s">
        <v>146</v>
      </c>
      <c r="C9" s="42"/>
      <c r="D9" s="42"/>
      <c r="E9" s="42"/>
      <c r="F9" s="42"/>
      <c r="G9" s="42"/>
      <c r="H9" s="42"/>
      <c r="I9" s="42"/>
      <c r="J9" s="42"/>
      <c r="K9" s="42"/>
      <c r="L9" s="42"/>
      <c r="M9" s="42"/>
      <c r="N9" s="42"/>
      <c r="O9" s="42"/>
      <c r="P9" s="42"/>
      <c r="Q9" s="264" t="str">
        <f>'A Y  II D3'!W9</f>
        <v>Entidad Federativa:</v>
      </c>
      <c r="R9" s="43" t="str">
        <f>'A Y  II D3'!X9</f>
        <v>GUANAJUATO</v>
      </c>
    </row>
    <row r="10" spans="1:253" ht="18.75" x14ac:dyDescent="0.3">
      <c r="B10" s="418" t="str">
        <f>'A Y  II D3'!B10:N10</f>
        <v>Fondo de Aportaciones para la Educación Tecnológica y de Adultos/Instituto Nacional para la Educación de los Adultos (FAETA/INEA)</v>
      </c>
      <c r="C10" s="419"/>
      <c r="D10" s="419"/>
      <c r="E10" s="419"/>
      <c r="F10" s="419"/>
      <c r="G10" s="419"/>
      <c r="H10" s="419"/>
      <c r="I10" s="259"/>
      <c r="J10" s="44"/>
      <c r="K10" s="44"/>
      <c r="L10" s="44"/>
      <c r="M10" s="44"/>
      <c r="N10" s="44"/>
      <c r="O10" s="44"/>
      <c r="P10" s="44"/>
      <c r="Q10" s="262"/>
      <c r="R10" s="45" t="str">
        <f>'A Y  II D3'!X10</f>
        <v>3er. Trimestre 2019</v>
      </c>
    </row>
    <row r="11" spans="1:253" x14ac:dyDescent="0.25">
      <c r="B11" s="37"/>
      <c r="C11" s="38"/>
      <c r="D11" s="38"/>
      <c r="E11" s="38"/>
      <c r="F11" s="38"/>
      <c r="G11" s="38"/>
      <c r="H11" s="38"/>
      <c r="I11" s="38"/>
      <c r="J11" s="38"/>
      <c r="K11" s="38"/>
      <c r="L11" s="38"/>
      <c r="M11" s="38"/>
      <c r="N11" s="38"/>
      <c r="O11" s="38"/>
      <c r="P11" s="38"/>
      <c r="Q11" s="38"/>
      <c r="R11" s="46"/>
    </row>
    <row r="12" spans="1:253" ht="5.0999999999999996" customHeight="1" x14ac:dyDescent="0.35">
      <c r="B12" s="13"/>
      <c r="C12" s="13"/>
      <c r="D12" s="14"/>
      <c r="E12" s="14"/>
      <c r="F12" s="14"/>
      <c r="G12" s="14"/>
      <c r="H12" s="14"/>
      <c r="I12" s="14"/>
      <c r="J12" s="14"/>
      <c r="K12" s="14"/>
      <c r="L12" s="14"/>
      <c r="M12" s="14"/>
      <c r="N12" s="15"/>
      <c r="O12" s="15"/>
      <c r="P12" s="15"/>
    </row>
    <row r="13" spans="1:253" ht="15" customHeight="1" x14ac:dyDescent="0.25">
      <c r="A13" s="16"/>
      <c r="B13" s="412" t="s">
        <v>0</v>
      </c>
      <c r="C13" s="439" t="s">
        <v>44</v>
      </c>
      <c r="D13" s="439" t="s">
        <v>18</v>
      </c>
      <c r="E13" s="439" t="s">
        <v>59</v>
      </c>
      <c r="F13" s="412" t="s">
        <v>45</v>
      </c>
      <c r="G13" s="440" t="s">
        <v>36</v>
      </c>
      <c r="H13" s="440"/>
      <c r="I13" s="440"/>
      <c r="J13" s="440"/>
      <c r="K13" s="440"/>
      <c r="L13" s="440"/>
      <c r="M13" s="440"/>
      <c r="N13" s="439" t="s">
        <v>65</v>
      </c>
      <c r="O13" s="439"/>
      <c r="P13" s="439" t="s">
        <v>144</v>
      </c>
      <c r="Q13" s="439" t="s">
        <v>145</v>
      </c>
      <c r="R13" s="412" t="s">
        <v>47</v>
      </c>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row>
    <row r="14" spans="1:253" ht="90.75" customHeight="1" x14ac:dyDescent="0.25">
      <c r="A14" s="16"/>
      <c r="B14" s="412"/>
      <c r="C14" s="439"/>
      <c r="D14" s="439"/>
      <c r="E14" s="439"/>
      <c r="F14" s="412"/>
      <c r="G14" s="283" t="s">
        <v>33</v>
      </c>
      <c r="H14" s="283" t="s">
        <v>32</v>
      </c>
      <c r="I14" s="283" t="s">
        <v>31</v>
      </c>
      <c r="J14" s="283" t="s">
        <v>30</v>
      </c>
      <c r="K14" s="283" t="s">
        <v>29</v>
      </c>
      <c r="L14" s="284" t="s">
        <v>54</v>
      </c>
      <c r="M14" s="283" t="s">
        <v>55</v>
      </c>
      <c r="N14" s="61" t="s">
        <v>56</v>
      </c>
      <c r="O14" s="286" t="s">
        <v>57</v>
      </c>
      <c r="P14" s="439"/>
      <c r="Q14" s="439"/>
      <c r="R14" s="412"/>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row>
    <row r="15" spans="1:253" ht="5.0999999999999996" customHeight="1" x14ac:dyDescent="0.25">
      <c r="B15" s="16"/>
      <c r="C15" s="17"/>
      <c r="D15" s="17"/>
      <c r="E15" s="17"/>
      <c r="F15" s="17"/>
      <c r="G15" s="17"/>
      <c r="H15" s="17"/>
      <c r="I15" s="17"/>
      <c r="J15" s="17"/>
      <c r="K15" s="17"/>
      <c r="L15" s="17"/>
      <c r="M15" s="17"/>
      <c r="N15" s="18"/>
      <c r="O15" s="19"/>
      <c r="P15" s="19"/>
    </row>
    <row r="16" spans="1:253" ht="76.5" hidden="1" x14ac:dyDescent="0.25">
      <c r="B16" s="212" t="s">
        <v>0</v>
      </c>
      <c r="C16" s="212" t="s">
        <v>44</v>
      </c>
      <c r="D16" s="212" t="s">
        <v>18</v>
      </c>
      <c r="E16" s="212" t="s">
        <v>59</v>
      </c>
      <c r="F16" s="212" t="s">
        <v>45</v>
      </c>
      <c r="G16" s="197" t="s">
        <v>33</v>
      </c>
      <c r="H16" s="197" t="s">
        <v>32</v>
      </c>
      <c r="I16" s="197" t="s">
        <v>31</v>
      </c>
      <c r="J16" s="197" t="s">
        <v>30</v>
      </c>
      <c r="K16" s="197" t="s">
        <v>29</v>
      </c>
      <c r="L16" s="197" t="s">
        <v>54</v>
      </c>
      <c r="M16" s="197" t="s">
        <v>55</v>
      </c>
      <c r="N16" s="197" t="s">
        <v>204</v>
      </c>
      <c r="O16" s="197" t="s">
        <v>205</v>
      </c>
      <c r="P16" s="212" t="s">
        <v>144</v>
      </c>
      <c r="Q16" s="212" t="s">
        <v>145</v>
      </c>
      <c r="R16" s="212" t="s">
        <v>47</v>
      </c>
    </row>
    <row r="17" spans="2:18" x14ac:dyDescent="0.25">
      <c r="B17" s="354"/>
      <c r="C17" s="355"/>
      <c r="D17" s="355"/>
      <c r="E17" s="355"/>
      <c r="F17" s="355"/>
      <c r="G17" s="351"/>
      <c r="H17" s="352"/>
      <c r="I17" s="351"/>
      <c r="J17" s="351"/>
      <c r="K17" s="349"/>
      <c r="L17" s="356"/>
      <c r="M17" s="357"/>
      <c r="N17" s="358"/>
      <c r="O17" s="358"/>
      <c r="P17" s="355"/>
      <c r="Q17" s="355"/>
      <c r="R17" s="355"/>
    </row>
    <row r="18" spans="2:18" x14ac:dyDescent="0.25">
      <c r="B18" s="354"/>
      <c r="C18" s="355"/>
      <c r="D18" s="355"/>
      <c r="E18" s="355"/>
      <c r="F18" s="355"/>
      <c r="G18" s="351"/>
      <c r="H18" s="352"/>
      <c r="I18" s="351"/>
      <c r="J18" s="351"/>
      <c r="K18" s="349"/>
      <c r="L18" s="356"/>
      <c r="M18" s="357"/>
      <c r="N18" s="358"/>
      <c r="O18" s="358"/>
      <c r="P18" s="355"/>
      <c r="Q18" s="355"/>
      <c r="R18" s="355"/>
    </row>
    <row r="19" spans="2:18" x14ac:dyDescent="0.25">
      <c r="B19" s="354"/>
      <c r="C19" s="355"/>
      <c r="D19" s="355"/>
      <c r="E19" s="355"/>
      <c r="F19" s="355"/>
      <c r="G19" s="351"/>
      <c r="H19" s="352"/>
      <c r="I19" s="351"/>
      <c r="J19" s="351"/>
      <c r="K19" s="349"/>
      <c r="L19" s="356"/>
      <c r="M19" s="357"/>
      <c r="N19" s="358"/>
      <c r="O19" s="358"/>
      <c r="P19" s="355"/>
      <c r="Q19" s="355"/>
      <c r="R19" s="355"/>
    </row>
    <row r="20" spans="2:18" x14ac:dyDescent="0.25">
      <c r="B20" s="354"/>
      <c r="C20" s="355"/>
      <c r="D20" s="355"/>
      <c r="E20" s="355"/>
      <c r="F20" s="355"/>
      <c r="G20" s="351"/>
      <c r="H20" s="352"/>
      <c r="I20" s="351"/>
      <c r="J20" s="351"/>
      <c r="K20" s="349"/>
      <c r="L20" s="356"/>
      <c r="M20" s="357"/>
      <c r="N20" s="358"/>
      <c r="O20" s="358"/>
      <c r="P20" s="355"/>
      <c r="Q20" s="355"/>
      <c r="R20" s="355"/>
    </row>
    <row r="21" spans="2:18" x14ac:dyDescent="0.25">
      <c r="B21" s="281"/>
      <c r="C21" s="280"/>
      <c r="D21" s="280"/>
      <c r="E21" s="280"/>
      <c r="F21" s="280"/>
      <c r="G21" s="246"/>
      <c r="H21" s="247"/>
      <c r="I21" s="246"/>
      <c r="J21" s="246"/>
      <c r="K21" s="245"/>
      <c r="L21" s="248"/>
      <c r="M21" s="274"/>
      <c r="N21" s="279"/>
      <c r="O21" s="279"/>
      <c r="P21" s="280"/>
      <c r="Q21" s="280"/>
      <c r="R21" s="280"/>
    </row>
    <row r="22" spans="2:18" x14ac:dyDescent="0.25">
      <c r="B22" s="253" t="s">
        <v>136</v>
      </c>
      <c r="C22" s="269"/>
      <c r="D22" s="85"/>
      <c r="E22" s="85"/>
      <c r="F22" s="85"/>
      <c r="G22" s="85"/>
      <c r="H22" s="85"/>
      <c r="I22" s="105"/>
      <c r="J22" s="85"/>
      <c r="K22" s="85" t="s">
        <v>137</v>
      </c>
      <c r="L22" s="105"/>
      <c r="M22" s="269"/>
      <c r="N22" s="416" t="s">
        <v>186</v>
      </c>
      <c r="O22" s="416"/>
      <c r="P22" s="117"/>
      <c r="Q22" s="107"/>
      <c r="R22" s="157"/>
    </row>
    <row r="23" spans="2:18" x14ac:dyDescent="0.25">
      <c r="B23" s="68"/>
      <c r="C23" s="69"/>
      <c r="D23" s="69"/>
      <c r="E23" s="69"/>
      <c r="F23" s="69"/>
      <c r="G23" s="69"/>
      <c r="H23" s="69"/>
      <c r="I23" s="69"/>
      <c r="J23" s="69"/>
      <c r="K23" s="82"/>
      <c r="L23" s="59"/>
      <c r="M23" s="59"/>
      <c r="N23" s="59"/>
      <c r="O23" s="59"/>
      <c r="P23" s="59"/>
      <c r="Q23" s="59"/>
      <c r="R23" s="158"/>
    </row>
    <row r="24" spans="2:18" x14ac:dyDescent="0.25">
      <c r="B24" s="68"/>
      <c r="C24" s="69"/>
      <c r="D24" s="69"/>
      <c r="E24" s="69"/>
      <c r="F24" s="69"/>
      <c r="G24" s="69"/>
      <c r="H24" s="69"/>
      <c r="I24" s="69"/>
      <c r="J24" s="69"/>
      <c r="K24" s="82"/>
      <c r="L24" s="59"/>
      <c r="M24" s="59"/>
      <c r="N24" s="416" t="s">
        <v>187</v>
      </c>
      <c r="O24" s="416"/>
      <c r="P24" s="59"/>
      <c r="Q24" s="251"/>
      <c r="R24" s="158"/>
    </row>
    <row r="25" spans="2:18" x14ac:dyDescent="0.25">
      <c r="B25" s="70"/>
      <c r="C25" s="71"/>
      <c r="D25" s="71"/>
      <c r="E25" s="71"/>
      <c r="F25" s="71"/>
      <c r="G25" s="71"/>
      <c r="H25" s="71"/>
      <c r="I25" s="71"/>
      <c r="J25" s="71"/>
      <c r="K25" s="71"/>
      <c r="L25" s="71"/>
      <c r="M25" s="71"/>
      <c r="N25" s="71"/>
      <c r="O25" s="71"/>
      <c r="P25" s="71"/>
      <c r="Q25" s="71"/>
      <c r="R25" s="159"/>
    </row>
    <row r="26" spans="2:18" x14ac:dyDescent="0.25">
      <c r="B26" s="47" t="s">
        <v>298</v>
      </c>
      <c r="C26" s="25"/>
      <c r="D26" s="25"/>
      <c r="E26" s="25"/>
      <c r="F26" s="59"/>
      <c r="G26" s="59"/>
      <c r="H26" s="59"/>
      <c r="I26" s="59"/>
      <c r="J26" s="59"/>
      <c r="K26" s="59"/>
      <c r="L26" s="59"/>
      <c r="M26" s="59"/>
      <c r="N26" s="59"/>
      <c r="O26" s="59"/>
      <c r="P26" s="59"/>
      <c r="Q26" s="59"/>
      <c r="R26" s="21"/>
    </row>
    <row r="27" spans="2:18" x14ac:dyDescent="0.25">
      <c r="B27" s="47" t="s">
        <v>152</v>
      </c>
      <c r="C27" s="48"/>
      <c r="D27" s="48"/>
      <c r="E27" s="222"/>
      <c r="F27" s="48"/>
      <c r="G27" s="48"/>
      <c r="H27" s="48"/>
      <c r="I27" s="48"/>
      <c r="J27" s="48"/>
      <c r="K27" s="48"/>
      <c r="L27" s="48"/>
      <c r="M27" s="48"/>
      <c r="N27" s="48"/>
      <c r="O27" s="48"/>
      <c r="P27" s="48"/>
      <c r="Q27" s="48"/>
      <c r="R27" s="48"/>
    </row>
    <row r="28" spans="2:18" x14ac:dyDescent="0.25">
      <c r="B28" s="48"/>
      <c r="C28" s="48"/>
      <c r="D28" s="48"/>
      <c r="E28" s="48"/>
      <c r="F28" s="48"/>
      <c r="G28" s="48"/>
      <c r="H28" s="48"/>
      <c r="I28" s="48"/>
      <c r="J28" s="48"/>
      <c r="K28" s="48"/>
      <c r="L28" s="48"/>
      <c r="M28" s="48"/>
      <c r="N28" s="48"/>
      <c r="O28" s="48"/>
      <c r="P28" s="48"/>
      <c r="Q28" s="48"/>
      <c r="R28" s="48"/>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170"/>
  <sheetViews>
    <sheetView showGridLines="0" view="pageLayout" zoomScale="90" zoomScaleNormal="80" zoomScalePageLayoutView="90" workbookViewId="0">
      <selection activeCell="F79" sqref="F79"/>
    </sheetView>
  </sheetViews>
  <sheetFormatPr baseColWidth="10" defaultColWidth="38.140625" defaultRowHeight="15" x14ac:dyDescent="0.25"/>
  <cols>
    <col min="1" max="1" width="2.28515625" style="12" customWidth="1"/>
    <col min="2" max="2" width="17.42578125" style="12" customWidth="1"/>
    <col min="3" max="3" width="19.85546875" style="12" customWidth="1"/>
    <col min="4" max="4" width="24.28515625" style="12" bestFit="1" customWidth="1"/>
    <col min="5" max="5" width="27.140625" style="12" customWidth="1"/>
    <col min="6" max="6" width="49.28515625" style="12" customWidth="1"/>
    <col min="7" max="7" width="13.7109375" style="12" customWidth="1"/>
    <col min="8" max="8" width="13.28515625" style="12" customWidth="1"/>
    <col min="9" max="9" width="11.85546875" style="12" customWidth="1"/>
    <col min="10" max="10" width="11.7109375" style="12" customWidth="1"/>
    <col min="11" max="11" width="13.28515625" style="12" customWidth="1"/>
    <col min="12" max="12" width="66" style="12" bestFit="1" customWidth="1"/>
    <col min="13" max="13" width="18" style="12" customWidth="1"/>
    <col min="14" max="14" width="3.7109375" style="12" customWidth="1"/>
    <col min="15" max="246" width="11.42578125" style="12" customWidth="1"/>
    <col min="247" max="248" width="3.7109375" style="12" customWidth="1"/>
    <col min="249" max="249" width="20.42578125" style="12" customWidth="1"/>
    <col min="250" max="250" width="24.28515625" style="12" bestFit="1" customWidth="1"/>
    <col min="251" max="251" width="22.42578125" style="12" bestFit="1" customWidth="1"/>
    <col min="252" max="16384" width="38.140625" style="12"/>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1" t="s">
        <v>148</v>
      </c>
      <c r="C10" s="42"/>
      <c r="D10" s="42"/>
      <c r="E10" s="42"/>
      <c r="F10" s="42"/>
      <c r="G10" s="42"/>
      <c r="H10" s="42"/>
      <c r="I10" s="42"/>
      <c r="J10" s="42"/>
      <c r="K10" s="42"/>
      <c r="L10" s="264" t="str">
        <f>'A Y  II D3'!W9</f>
        <v>Entidad Federativa:</v>
      </c>
      <c r="M10" s="43" t="str">
        <f>'A Y  II D3'!X9</f>
        <v>GUANAJUATO</v>
      </c>
    </row>
    <row r="11" spans="1:247" ht="18.75" x14ac:dyDescent="0.3">
      <c r="B11" s="418" t="str">
        <f>'A Y  II D3'!B10:N10</f>
        <v>Fondo de Aportaciones para la Educación Tecnológica y de Adultos/Instituto Nacional para la Educación de los Adultos (FAETA/INEA)</v>
      </c>
      <c r="C11" s="419"/>
      <c r="D11" s="419"/>
      <c r="E11" s="419"/>
      <c r="F11" s="419"/>
      <c r="G11" s="419"/>
      <c r="H11" s="259"/>
      <c r="I11" s="259"/>
      <c r="J11" s="44"/>
      <c r="K11" s="44"/>
      <c r="L11" s="262"/>
      <c r="M11" s="367" t="str">
        <f>'A Y  II D3'!X10</f>
        <v>3er. Trimestre 2019</v>
      </c>
    </row>
    <row r="12" spans="1:247" x14ac:dyDescent="0.25">
      <c r="B12" s="37"/>
      <c r="C12" s="38"/>
      <c r="D12" s="38"/>
      <c r="E12" s="38"/>
      <c r="F12" s="38"/>
      <c r="G12" s="38"/>
      <c r="H12" s="38"/>
      <c r="I12" s="38"/>
      <c r="J12" s="38"/>
      <c r="K12" s="38"/>
      <c r="L12" s="38"/>
      <c r="M12" s="46"/>
    </row>
    <row r="13" spans="1:247" ht="5.0999999999999996" customHeight="1" x14ac:dyDescent="0.25"/>
    <row r="14" spans="1:247" ht="32.25" customHeight="1" x14ac:dyDescent="0.25">
      <c r="A14" s="16"/>
      <c r="B14" s="412" t="s">
        <v>0</v>
      </c>
      <c r="C14" s="420" t="s">
        <v>60</v>
      </c>
      <c r="D14" s="420" t="s">
        <v>44</v>
      </c>
      <c r="E14" s="420" t="s">
        <v>18</v>
      </c>
      <c r="F14" s="420" t="s">
        <v>37</v>
      </c>
      <c r="G14" s="458" t="s">
        <v>70</v>
      </c>
      <c r="H14" s="420" t="s">
        <v>69</v>
      </c>
      <c r="I14" s="420"/>
      <c r="J14" s="420" t="s">
        <v>68</v>
      </c>
      <c r="K14" s="420"/>
      <c r="L14" s="458" t="s">
        <v>67</v>
      </c>
      <c r="M14" s="458" t="s">
        <v>66</v>
      </c>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row>
    <row r="15" spans="1:247" ht="84.75" customHeight="1" x14ac:dyDescent="0.25">
      <c r="A15" s="16"/>
      <c r="B15" s="412"/>
      <c r="C15" s="420"/>
      <c r="D15" s="420"/>
      <c r="E15" s="420"/>
      <c r="F15" s="420"/>
      <c r="G15" s="458"/>
      <c r="H15" s="266" t="s">
        <v>29</v>
      </c>
      <c r="I15" s="266" t="s">
        <v>54</v>
      </c>
      <c r="J15" s="60" t="s">
        <v>56</v>
      </c>
      <c r="K15" s="266" t="s">
        <v>57</v>
      </c>
      <c r="L15" s="458"/>
      <c r="M15" s="458"/>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row>
    <row r="16" spans="1:247" ht="5.0999999999999996" customHeight="1" x14ac:dyDescent="0.25">
      <c r="A16" s="20"/>
      <c r="B16" s="20"/>
      <c r="C16" s="23"/>
      <c r="D16" s="23"/>
      <c r="E16" s="23"/>
      <c r="F16" s="23"/>
      <c r="G16" s="23"/>
      <c r="H16" s="23"/>
      <c r="I16" s="23"/>
      <c r="J16" s="19"/>
      <c r="K16" s="19"/>
      <c r="L16" s="18"/>
      <c r="M16" s="22"/>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row>
    <row r="17" spans="1:242" ht="15" hidden="1" customHeight="1" x14ac:dyDescent="0.25">
      <c r="A17" s="20"/>
      <c r="B17" s="209" t="s">
        <v>0</v>
      </c>
      <c r="C17" s="204" t="s">
        <v>60</v>
      </c>
      <c r="D17" s="204" t="s">
        <v>44</v>
      </c>
      <c r="E17" s="204" t="s">
        <v>18</v>
      </c>
      <c r="F17" s="204" t="s">
        <v>37</v>
      </c>
      <c r="G17" s="209" t="s">
        <v>70</v>
      </c>
      <c r="H17" s="198" t="s">
        <v>29</v>
      </c>
      <c r="I17" s="198" t="s">
        <v>54</v>
      </c>
      <c r="J17" s="198" t="s">
        <v>226</v>
      </c>
      <c r="K17" s="266" t="s">
        <v>227</v>
      </c>
      <c r="L17" s="196" t="s">
        <v>67</v>
      </c>
      <c r="M17" s="209" t="s">
        <v>66</v>
      </c>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row>
    <row r="18" spans="1:242" ht="15" customHeight="1" x14ac:dyDescent="0.25">
      <c r="A18" s="20"/>
      <c r="B18" s="381" t="s">
        <v>305</v>
      </c>
      <c r="C18" s="381" t="s">
        <v>913</v>
      </c>
      <c r="D18" s="381" t="s">
        <v>1668</v>
      </c>
      <c r="E18" s="381" t="s">
        <v>1669</v>
      </c>
      <c r="F18" s="381" t="s">
        <v>1670</v>
      </c>
      <c r="G18" s="396">
        <v>98</v>
      </c>
      <c r="H18" s="396">
        <v>0</v>
      </c>
      <c r="I18" s="396">
        <v>0</v>
      </c>
      <c r="J18" s="381">
        <v>20190701</v>
      </c>
      <c r="K18" s="381">
        <v>20190715</v>
      </c>
      <c r="L18" s="381" t="s">
        <v>1781</v>
      </c>
      <c r="M18" s="397">
        <v>5992.16</v>
      </c>
      <c r="N18" s="38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row>
    <row r="19" spans="1:242" ht="15" customHeight="1" x14ac:dyDescent="0.25">
      <c r="A19" s="20"/>
      <c r="B19" s="381" t="s">
        <v>305</v>
      </c>
      <c r="C19" s="381" t="s">
        <v>913</v>
      </c>
      <c r="D19" s="381" t="s">
        <v>1600</v>
      </c>
      <c r="E19" s="381" t="s">
        <v>1782</v>
      </c>
      <c r="F19" s="381" t="s">
        <v>1783</v>
      </c>
      <c r="G19" s="396">
        <v>197</v>
      </c>
      <c r="H19" s="396">
        <v>0</v>
      </c>
      <c r="I19" s="396">
        <v>0</v>
      </c>
      <c r="J19" s="381">
        <v>20190701</v>
      </c>
      <c r="K19" s="381">
        <v>20190715</v>
      </c>
      <c r="L19" s="381" t="s">
        <v>1784</v>
      </c>
      <c r="M19" s="397">
        <v>5992.16</v>
      </c>
      <c r="N19" s="38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row>
    <row r="20" spans="1:242" ht="15" customHeight="1" x14ac:dyDescent="0.25">
      <c r="A20" s="20"/>
      <c r="B20" s="381" t="s">
        <v>305</v>
      </c>
      <c r="C20" s="381" t="s">
        <v>913</v>
      </c>
      <c r="D20" s="398" t="s">
        <v>1718</v>
      </c>
      <c r="E20" s="398" t="s">
        <v>1719</v>
      </c>
      <c r="F20" s="381" t="s">
        <v>1720</v>
      </c>
      <c r="G20" s="396">
        <v>128</v>
      </c>
      <c r="H20" s="396">
        <v>0</v>
      </c>
      <c r="I20" s="396">
        <v>0</v>
      </c>
      <c r="J20" s="381">
        <v>20190701</v>
      </c>
      <c r="K20" s="381">
        <v>20190715</v>
      </c>
      <c r="L20" s="381" t="s">
        <v>1785</v>
      </c>
      <c r="M20" s="397">
        <v>5992.16</v>
      </c>
      <c r="N20" s="38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row>
    <row r="21" spans="1:242" ht="15" customHeight="1" x14ac:dyDescent="0.25">
      <c r="A21" s="20"/>
      <c r="B21" s="381" t="s">
        <v>305</v>
      </c>
      <c r="C21" s="381" t="s">
        <v>913</v>
      </c>
      <c r="D21" s="381" t="s">
        <v>1584</v>
      </c>
      <c r="E21" s="381" t="s">
        <v>1585</v>
      </c>
      <c r="F21" s="381" t="s">
        <v>1586</v>
      </c>
      <c r="G21" s="396">
        <v>102</v>
      </c>
      <c r="H21" s="396">
        <v>0</v>
      </c>
      <c r="I21" s="396">
        <v>0</v>
      </c>
      <c r="J21" s="381">
        <v>20190701</v>
      </c>
      <c r="K21" s="381">
        <v>20190715</v>
      </c>
      <c r="L21" s="381" t="s">
        <v>1786</v>
      </c>
      <c r="M21" s="397">
        <v>7724.33</v>
      </c>
      <c r="N21" s="38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row>
    <row r="22" spans="1:242" ht="15" customHeight="1" x14ac:dyDescent="0.25">
      <c r="A22" s="20"/>
      <c r="B22" s="381" t="s">
        <v>305</v>
      </c>
      <c r="C22" s="381" t="s">
        <v>913</v>
      </c>
      <c r="D22" s="381" t="s">
        <v>1671</v>
      </c>
      <c r="E22" s="381" t="s">
        <v>1672</v>
      </c>
      <c r="F22" s="381" t="s">
        <v>1673</v>
      </c>
      <c r="G22" s="396">
        <v>103</v>
      </c>
      <c r="H22" s="396">
        <v>0</v>
      </c>
      <c r="I22" s="396">
        <v>0</v>
      </c>
      <c r="J22" s="381">
        <v>20190701</v>
      </c>
      <c r="K22" s="381">
        <v>20190715</v>
      </c>
      <c r="L22" s="381" t="s">
        <v>1787</v>
      </c>
      <c r="M22" s="397">
        <v>5992.16</v>
      </c>
      <c r="N22" s="38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row>
    <row r="23" spans="1:242" ht="15" customHeight="1" x14ac:dyDescent="0.25">
      <c r="A23" s="20"/>
      <c r="B23" s="381" t="s">
        <v>305</v>
      </c>
      <c r="C23" s="381" t="s">
        <v>913</v>
      </c>
      <c r="D23" s="381" t="s">
        <v>1530</v>
      </c>
      <c r="E23" s="381" t="s">
        <v>1674</v>
      </c>
      <c r="F23" s="381" t="s">
        <v>1675</v>
      </c>
      <c r="G23" s="396">
        <v>106</v>
      </c>
      <c r="H23" s="396">
        <v>0</v>
      </c>
      <c r="I23" s="396">
        <v>0</v>
      </c>
      <c r="J23" s="381">
        <v>20190701</v>
      </c>
      <c r="K23" s="381">
        <v>20190715</v>
      </c>
      <c r="L23" s="381" t="s">
        <v>1788</v>
      </c>
      <c r="M23" s="397">
        <v>2930.6</v>
      </c>
      <c r="N23" s="38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row>
    <row r="24" spans="1:242" ht="15" customHeight="1" x14ac:dyDescent="0.25">
      <c r="A24" s="20"/>
      <c r="B24" s="381" t="s">
        <v>305</v>
      </c>
      <c r="C24" s="381" t="s">
        <v>913</v>
      </c>
      <c r="D24" s="381" t="s">
        <v>1679</v>
      </c>
      <c r="E24" s="381" t="s">
        <v>1680</v>
      </c>
      <c r="F24" s="381" t="s">
        <v>1681</v>
      </c>
      <c r="G24" s="396">
        <v>111</v>
      </c>
      <c r="H24" s="396">
        <v>0</v>
      </c>
      <c r="I24" s="396">
        <v>0</v>
      </c>
      <c r="J24" s="381">
        <v>20190701</v>
      </c>
      <c r="K24" s="381">
        <v>20190715</v>
      </c>
      <c r="L24" s="381" t="s">
        <v>1789</v>
      </c>
      <c r="M24" s="397">
        <v>3869.09</v>
      </c>
      <c r="N24" s="38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row>
    <row r="25" spans="1:242" ht="15" customHeight="1" x14ac:dyDescent="0.25">
      <c r="A25" s="20"/>
      <c r="B25" s="381" t="s">
        <v>305</v>
      </c>
      <c r="C25" s="381" t="s">
        <v>913</v>
      </c>
      <c r="D25" s="381" t="s">
        <v>1684</v>
      </c>
      <c r="E25" s="381" t="s">
        <v>1685</v>
      </c>
      <c r="F25" s="381" t="s">
        <v>1686</v>
      </c>
      <c r="G25" s="399">
        <v>115</v>
      </c>
      <c r="H25" s="396">
        <v>0</v>
      </c>
      <c r="I25" s="396">
        <v>0</v>
      </c>
      <c r="J25" s="381">
        <v>20190701</v>
      </c>
      <c r="K25" s="381">
        <v>20190715</v>
      </c>
      <c r="L25" s="381" t="s">
        <v>1789</v>
      </c>
      <c r="M25" s="397">
        <v>3869.08</v>
      </c>
      <c r="N25" s="38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row>
    <row r="26" spans="1:242" ht="15" customHeight="1" x14ac:dyDescent="0.25">
      <c r="A26" s="20"/>
      <c r="B26" s="381" t="s">
        <v>305</v>
      </c>
      <c r="C26" s="381" t="s">
        <v>913</v>
      </c>
      <c r="D26" s="381" t="s">
        <v>1687</v>
      </c>
      <c r="E26" s="381" t="s">
        <v>1688</v>
      </c>
      <c r="F26" s="381" t="s">
        <v>1689</v>
      </c>
      <c r="G26" s="396">
        <v>116</v>
      </c>
      <c r="H26" s="396">
        <v>0</v>
      </c>
      <c r="I26" s="396">
        <v>0</v>
      </c>
      <c r="J26" s="381">
        <v>20190701</v>
      </c>
      <c r="K26" s="381">
        <v>20190715</v>
      </c>
      <c r="L26" s="381" t="s">
        <v>1790</v>
      </c>
      <c r="M26" s="397">
        <v>9357.41</v>
      </c>
      <c r="N26" s="38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row>
    <row r="27" spans="1:242" ht="15" customHeight="1" x14ac:dyDescent="0.25">
      <c r="A27" s="20"/>
      <c r="B27" s="381" t="s">
        <v>305</v>
      </c>
      <c r="C27" s="381" t="s">
        <v>913</v>
      </c>
      <c r="D27" s="381" t="s">
        <v>1668</v>
      </c>
      <c r="E27" s="381" t="s">
        <v>1669</v>
      </c>
      <c r="F27" s="381" t="s">
        <v>1670</v>
      </c>
      <c r="G27" s="396">
        <v>98</v>
      </c>
      <c r="H27" s="396">
        <v>0</v>
      </c>
      <c r="I27" s="396">
        <v>0</v>
      </c>
      <c r="J27" s="381">
        <v>20190716</v>
      </c>
      <c r="K27" s="381">
        <v>20190731</v>
      </c>
      <c r="L27" s="381" t="s">
        <v>1781</v>
      </c>
      <c r="M27" s="397">
        <v>5992.16</v>
      </c>
      <c r="N27" s="38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row>
    <row r="28" spans="1:242" ht="15" customHeight="1" x14ac:dyDescent="0.25">
      <c r="A28" s="20"/>
      <c r="B28" s="381" t="s">
        <v>305</v>
      </c>
      <c r="C28" s="381" t="s">
        <v>913</v>
      </c>
      <c r="D28" s="381" t="s">
        <v>1600</v>
      </c>
      <c r="E28" s="381" t="s">
        <v>1782</v>
      </c>
      <c r="F28" s="381" t="s">
        <v>1783</v>
      </c>
      <c r="G28" s="396">
        <v>197</v>
      </c>
      <c r="H28" s="396">
        <v>0</v>
      </c>
      <c r="I28" s="396">
        <v>0</v>
      </c>
      <c r="J28" s="381">
        <v>20190716</v>
      </c>
      <c r="K28" s="381">
        <v>20190731</v>
      </c>
      <c r="L28" s="381" t="s">
        <v>1784</v>
      </c>
      <c r="M28" s="397">
        <v>5992.16</v>
      </c>
      <c r="N28" s="38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row>
    <row r="29" spans="1:242" ht="15" customHeight="1" x14ac:dyDescent="0.25">
      <c r="A29" s="20"/>
      <c r="B29" s="381" t="s">
        <v>305</v>
      </c>
      <c r="C29" s="381" t="s">
        <v>913</v>
      </c>
      <c r="D29" s="381" t="s">
        <v>1791</v>
      </c>
      <c r="E29" s="381" t="s">
        <v>1792</v>
      </c>
      <c r="F29" s="381" t="s">
        <v>1793</v>
      </c>
      <c r="G29" s="396">
        <v>214</v>
      </c>
      <c r="H29" s="396">
        <v>0</v>
      </c>
      <c r="I29" s="396">
        <v>0</v>
      </c>
      <c r="J29" s="381">
        <v>20190716</v>
      </c>
      <c r="K29" s="381">
        <v>20190731</v>
      </c>
      <c r="L29" s="381" t="s">
        <v>1781</v>
      </c>
      <c r="M29" s="397">
        <v>9357.41</v>
      </c>
      <c r="N29" s="38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row>
    <row r="30" spans="1:242" ht="15" customHeight="1" x14ac:dyDescent="0.25">
      <c r="A30" s="20"/>
      <c r="B30" s="381" t="s">
        <v>305</v>
      </c>
      <c r="C30" s="381" t="s">
        <v>913</v>
      </c>
      <c r="D30" s="398" t="s">
        <v>1718</v>
      </c>
      <c r="E30" s="398" t="s">
        <v>1719</v>
      </c>
      <c r="F30" s="381" t="s">
        <v>1720</v>
      </c>
      <c r="G30" s="396">
        <v>128</v>
      </c>
      <c r="H30" s="396">
        <v>0</v>
      </c>
      <c r="I30" s="396">
        <v>0</v>
      </c>
      <c r="J30" s="381">
        <v>20190716</v>
      </c>
      <c r="K30" s="381">
        <v>20190731</v>
      </c>
      <c r="L30" s="381" t="s">
        <v>1785</v>
      </c>
      <c r="M30" s="397">
        <v>5992.16</v>
      </c>
      <c r="N30" s="38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row>
    <row r="31" spans="1:242" ht="15" customHeight="1" x14ac:dyDescent="0.25">
      <c r="A31" s="20"/>
      <c r="B31" s="381" t="s">
        <v>305</v>
      </c>
      <c r="C31" s="381" t="s">
        <v>913</v>
      </c>
      <c r="D31" s="381" t="s">
        <v>1584</v>
      </c>
      <c r="E31" s="381" t="s">
        <v>1585</v>
      </c>
      <c r="F31" s="381" t="s">
        <v>1586</v>
      </c>
      <c r="G31" s="396">
        <v>102</v>
      </c>
      <c r="H31" s="396">
        <v>0</v>
      </c>
      <c r="I31" s="396">
        <v>0</v>
      </c>
      <c r="J31" s="381">
        <v>20190716</v>
      </c>
      <c r="K31" s="381">
        <v>20190731</v>
      </c>
      <c r="L31" s="381" t="s">
        <v>1786</v>
      </c>
      <c r="M31" s="397">
        <v>7724.33</v>
      </c>
      <c r="N31" s="38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row>
    <row r="32" spans="1:242" ht="15" customHeight="1" x14ac:dyDescent="0.25">
      <c r="A32" s="20"/>
      <c r="B32" s="381" t="s">
        <v>305</v>
      </c>
      <c r="C32" s="381" t="s">
        <v>913</v>
      </c>
      <c r="D32" s="381" t="s">
        <v>1671</v>
      </c>
      <c r="E32" s="381" t="s">
        <v>1672</v>
      </c>
      <c r="F32" s="381" t="s">
        <v>1673</v>
      </c>
      <c r="G32" s="396">
        <v>103</v>
      </c>
      <c r="H32" s="396">
        <v>0</v>
      </c>
      <c r="I32" s="396">
        <v>0</v>
      </c>
      <c r="J32" s="381">
        <v>20190716</v>
      </c>
      <c r="K32" s="381">
        <v>20190731</v>
      </c>
      <c r="L32" s="381" t="s">
        <v>1787</v>
      </c>
      <c r="M32" s="397">
        <v>5992.16</v>
      </c>
      <c r="N32" s="38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row>
    <row r="33" spans="1:242" ht="15" customHeight="1" x14ac:dyDescent="0.25">
      <c r="A33" s="20"/>
      <c r="B33" s="381" t="s">
        <v>305</v>
      </c>
      <c r="C33" s="381" t="s">
        <v>913</v>
      </c>
      <c r="D33" s="381" t="s">
        <v>1530</v>
      </c>
      <c r="E33" s="381" t="s">
        <v>1674</v>
      </c>
      <c r="F33" s="381" t="s">
        <v>1675</v>
      </c>
      <c r="G33" s="396">
        <v>106</v>
      </c>
      <c r="H33" s="396">
        <v>0</v>
      </c>
      <c r="I33" s="396">
        <v>0</v>
      </c>
      <c r="J33" s="381">
        <v>20190716</v>
      </c>
      <c r="K33" s="381">
        <v>20190731</v>
      </c>
      <c r="L33" s="381" t="s">
        <v>1788</v>
      </c>
      <c r="M33" s="397">
        <v>2930.6</v>
      </c>
      <c r="N33" s="38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row>
    <row r="34" spans="1:242" ht="15" customHeight="1" x14ac:dyDescent="0.25">
      <c r="A34" s="20"/>
      <c r="B34" s="381" t="s">
        <v>305</v>
      </c>
      <c r="C34" s="381" t="s">
        <v>913</v>
      </c>
      <c r="D34" s="381" t="s">
        <v>1679</v>
      </c>
      <c r="E34" s="381" t="s">
        <v>1680</v>
      </c>
      <c r="F34" s="381" t="s">
        <v>1681</v>
      </c>
      <c r="G34" s="396">
        <v>111</v>
      </c>
      <c r="H34" s="396">
        <v>0</v>
      </c>
      <c r="I34" s="396">
        <v>0</v>
      </c>
      <c r="J34" s="381">
        <v>20190716</v>
      </c>
      <c r="K34" s="381">
        <v>20190731</v>
      </c>
      <c r="L34" s="381" t="s">
        <v>1789</v>
      </c>
      <c r="M34" s="397">
        <v>3869.09</v>
      </c>
      <c r="N34" s="38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row>
    <row r="35" spans="1:242" ht="15" customHeight="1" x14ac:dyDescent="0.25">
      <c r="A35" s="20"/>
      <c r="B35" s="381" t="s">
        <v>305</v>
      </c>
      <c r="C35" s="381" t="s">
        <v>913</v>
      </c>
      <c r="D35" s="381" t="s">
        <v>1684</v>
      </c>
      <c r="E35" s="381" t="s">
        <v>1685</v>
      </c>
      <c r="F35" s="381" t="s">
        <v>1686</v>
      </c>
      <c r="G35" s="399">
        <v>115</v>
      </c>
      <c r="H35" s="396">
        <v>0</v>
      </c>
      <c r="I35" s="396">
        <v>0</v>
      </c>
      <c r="J35" s="381">
        <v>20190716</v>
      </c>
      <c r="K35" s="381">
        <v>20190731</v>
      </c>
      <c r="L35" s="381" t="s">
        <v>1789</v>
      </c>
      <c r="M35" s="397">
        <v>3869.08</v>
      </c>
      <c r="N35" s="38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row>
    <row r="36" spans="1:242" ht="15" customHeight="1" x14ac:dyDescent="0.25">
      <c r="A36" s="20"/>
      <c r="B36" s="381" t="s">
        <v>305</v>
      </c>
      <c r="C36" s="381" t="s">
        <v>913</v>
      </c>
      <c r="D36" s="381" t="s">
        <v>1687</v>
      </c>
      <c r="E36" s="381" t="s">
        <v>1688</v>
      </c>
      <c r="F36" s="381" t="s">
        <v>1689</v>
      </c>
      <c r="G36" s="396">
        <v>116</v>
      </c>
      <c r="H36" s="396">
        <v>0</v>
      </c>
      <c r="I36" s="396">
        <v>0</v>
      </c>
      <c r="J36" s="381">
        <v>20190716</v>
      </c>
      <c r="K36" s="381">
        <v>20190731</v>
      </c>
      <c r="L36" s="381" t="s">
        <v>1790</v>
      </c>
      <c r="M36" s="397">
        <v>9357.41</v>
      </c>
      <c r="N36" s="38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row>
    <row r="37" spans="1:242" ht="15" customHeight="1" x14ac:dyDescent="0.25">
      <c r="A37" s="20"/>
      <c r="B37" s="381" t="s">
        <v>305</v>
      </c>
      <c r="C37" s="381" t="s">
        <v>913</v>
      </c>
      <c r="D37" s="381" t="s">
        <v>1668</v>
      </c>
      <c r="E37" s="381" t="s">
        <v>1669</v>
      </c>
      <c r="F37" s="381" t="s">
        <v>1670</v>
      </c>
      <c r="G37" s="396">
        <v>98</v>
      </c>
      <c r="H37" s="396">
        <v>0</v>
      </c>
      <c r="I37" s="396">
        <v>0</v>
      </c>
      <c r="J37" s="381">
        <v>20190801</v>
      </c>
      <c r="K37" s="381">
        <v>20190815</v>
      </c>
      <c r="L37" s="381" t="s">
        <v>1781</v>
      </c>
      <c r="M37" s="397">
        <v>5992.16</v>
      </c>
      <c r="N37" s="38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row>
    <row r="38" spans="1:242" ht="15" customHeight="1" x14ac:dyDescent="0.25">
      <c r="A38" s="20"/>
      <c r="B38" s="381" t="s">
        <v>305</v>
      </c>
      <c r="C38" s="381" t="s">
        <v>913</v>
      </c>
      <c r="D38" s="381" t="s">
        <v>1600</v>
      </c>
      <c r="E38" s="381" t="s">
        <v>1782</v>
      </c>
      <c r="F38" s="381" t="s">
        <v>1783</v>
      </c>
      <c r="G38" s="396">
        <v>197</v>
      </c>
      <c r="H38" s="396">
        <v>0</v>
      </c>
      <c r="I38" s="396">
        <v>0</v>
      </c>
      <c r="J38" s="381">
        <v>20190801</v>
      </c>
      <c r="K38" s="381">
        <v>20190815</v>
      </c>
      <c r="L38" s="381" t="s">
        <v>1784</v>
      </c>
      <c r="M38" s="397">
        <v>5992.16</v>
      </c>
      <c r="N38" s="38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row>
    <row r="39" spans="1:242" ht="15" customHeight="1" x14ac:dyDescent="0.25">
      <c r="A39" s="20"/>
      <c r="B39" s="381" t="s">
        <v>305</v>
      </c>
      <c r="C39" s="381" t="s">
        <v>913</v>
      </c>
      <c r="D39" s="381" t="s">
        <v>1791</v>
      </c>
      <c r="E39" s="381" t="s">
        <v>1792</v>
      </c>
      <c r="F39" s="381" t="s">
        <v>1794</v>
      </c>
      <c r="G39" s="396">
        <v>214</v>
      </c>
      <c r="H39" s="396">
        <v>0</v>
      </c>
      <c r="I39" s="396">
        <v>0</v>
      </c>
      <c r="J39" s="381">
        <v>20190801</v>
      </c>
      <c r="K39" s="381">
        <v>20190815</v>
      </c>
      <c r="L39" s="381" t="s">
        <v>1781</v>
      </c>
      <c r="M39" s="397">
        <v>9357.41</v>
      </c>
      <c r="N39" s="38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row>
    <row r="40" spans="1:242" ht="15" customHeight="1" x14ac:dyDescent="0.25">
      <c r="A40" s="20"/>
      <c r="B40" s="381" t="s">
        <v>305</v>
      </c>
      <c r="C40" s="381" t="s">
        <v>913</v>
      </c>
      <c r="D40" s="398" t="s">
        <v>1718</v>
      </c>
      <c r="E40" s="398" t="s">
        <v>1719</v>
      </c>
      <c r="F40" s="381" t="s">
        <v>1720</v>
      </c>
      <c r="G40" s="396">
        <v>128</v>
      </c>
      <c r="H40" s="396">
        <v>0</v>
      </c>
      <c r="I40" s="396">
        <v>0</v>
      </c>
      <c r="J40" s="381">
        <v>20190801</v>
      </c>
      <c r="K40" s="381">
        <v>20190815</v>
      </c>
      <c r="L40" s="381" t="s">
        <v>1785</v>
      </c>
      <c r="M40" s="397">
        <v>5992.16</v>
      </c>
      <c r="N40" s="38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row>
    <row r="41" spans="1:242" ht="15" customHeight="1" x14ac:dyDescent="0.25">
      <c r="A41" s="20"/>
      <c r="B41" s="381" t="s">
        <v>305</v>
      </c>
      <c r="C41" s="381" t="s">
        <v>913</v>
      </c>
      <c r="D41" s="381" t="s">
        <v>1584</v>
      </c>
      <c r="E41" s="381" t="s">
        <v>1585</v>
      </c>
      <c r="F41" s="381" t="s">
        <v>1586</v>
      </c>
      <c r="G41" s="396">
        <v>102</v>
      </c>
      <c r="H41" s="396">
        <v>0</v>
      </c>
      <c r="I41" s="396">
        <v>0</v>
      </c>
      <c r="J41" s="381">
        <v>20190801</v>
      </c>
      <c r="K41" s="381">
        <v>20190815</v>
      </c>
      <c r="L41" s="381" t="s">
        <v>1786</v>
      </c>
      <c r="M41" s="397">
        <v>7724.33</v>
      </c>
      <c r="N41" s="38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row>
    <row r="42" spans="1:242" ht="15" customHeight="1" x14ac:dyDescent="0.25">
      <c r="A42" s="20"/>
      <c r="B42" s="381" t="s">
        <v>305</v>
      </c>
      <c r="C42" s="381" t="s">
        <v>913</v>
      </c>
      <c r="D42" s="381" t="s">
        <v>1671</v>
      </c>
      <c r="E42" s="381" t="s">
        <v>1672</v>
      </c>
      <c r="F42" s="381" t="s">
        <v>1673</v>
      </c>
      <c r="G42" s="396">
        <v>103</v>
      </c>
      <c r="H42" s="396">
        <v>0</v>
      </c>
      <c r="I42" s="396">
        <v>0</v>
      </c>
      <c r="J42" s="381">
        <v>20190801</v>
      </c>
      <c r="K42" s="381">
        <v>20190815</v>
      </c>
      <c r="L42" s="381" t="s">
        <v>1787</v>
      </c>
      <c r="M42" s="397">
        <v>5992.16</v>
      </c>
      <c r="N42" s="38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row>
    <row r="43" spans="1:242" ht="15" customHeight="1" x14ac:dyDescent="0.25">
      <c r="A43" s="20"/>
      <c r="B43" s="381" t="s">
        <v>305</v>
      </c>
      <c r="C43" s="381" t="s">
        <v>913</v>
      </c>
      <c r="D43" s="381" t="s">
        <v>1530</v>
      </c>
      <c r="E43" s="381" t="s">
        <v>1674</v>
      </c>
      <c r="F43" s="381" t="s">
        <v>1675</v>
      </c>
      <c r="G43" s="396">
        <v>106</v>
      </c>
      <c r="H43" s="396">
        <v>0</v>
      </c>
      <c r="I43" s="396">
        <v>0</v>
      </c>
      <c r="J43" s="381">
        <v>20190801</v>
      </c>
      <c r="K43" s="381">
        <v>20190815</v>
      </c>
      <c r="L43" s="381" t="s">
        <v>1788</v>
      </c>
      <c r="M43" s="397">
        <v>2930.6</v>
      </c>
      <c r="N43" s="38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row>
    <row r="44" spans="1:242" x14ac:dyDescent="0.25">
      <c r="B44" s="381" t="s">
        <v>305</v>
      </c>
      <c r="C44" s="381" t="s">
        <v>913</v>
      </c>
      <c r="D44" s="381" t="s">
        <v>1679</v>
      </c>
      <c r="E44" s="381" t="s">
        <v>1680</v>
      </c>
      <c r="F44" s="381" t="s">
        <v>1681</v>
      </c>
      <c r="G44" s="396">
        <v>111</v>
      </c>
      <c r="H44" s="396">
        <v>0</v>
      </c>
      <c r="I44" s="396">
        <v>0</v>
      </c>
      <c r="J44" s="381">
        <v>20190801</v>
      </c>
      <c r="K44" s="381">
        <v>20190815</v>
      </c>
      <c r="L44" s="381" t="s">
        <v>1789</v>
      </c>
      <c r="M44" s="397">
        <v>3869.09</v>
      </c>
      <c r="N44" s="378"/>
    </row>
    <row r="45" spans="1:242" x14ac:dyDescent="0.25">
      <c r="B45" s="381" t="s">
        <v>305</v>
      </c>
      <c r="C45" s="381" t="s">
        <v>913</v>
      </c>
      <c r="D45" s="381" t="s">
        <v>1684</v>
      </c>
      <c r="E45" s="381" t="s">
        <v>1685</v>
      </c>
      <c r="F45" s="381" t="s">
        <v>1686</v>
      </c>
      <c r="G45" s="399">
        <v>115</v>
      </c>
      <c r="H45" s="396">
        <v>0</v>
      </c>
      <c r="I45" s="396">
        <v>0</v>
      </c>
      <c r="J45" s="381">
        <v>20190801</v>
      </c>
      <c r="K45" s="381">
        <v>20190815</v>
      </c>
      <c r="L45" s="381" t="s">
        <v>1789</v>
      </c>
      <c r="M45" s="397">
        <v>3869.08</v>
      </c>
      <c r="N45" s="378"/>
    </row>
    <row r="46" spans="1:242" x14ac:dyDescent="0.25">
      <c r="B46" s="381" t="s">
        <v>305</v>
      </c>
      <c r="C46" s="381" t="s">
        <v>913</v>
      </c>
      <c r="D46" s="381" t="s">
        <v>1687</v>
      </c>
      <c r="E46" s="381" t="s">
        <v>1688</v>
      </c>
      <c r="F46" s="381" t="s">
        <v>1689</v>
      </c>
      <c r="G46" s="396">
        <v>116</v>
      </c>
      <c r="H46" s="396">
        <v>0</v>
      </c>
      <c r="I46" s="396">
        <v>0</v>
      </c>
      <c r="J46" s="381">
        <v>20190801</v>
      </c>
      <c r="K46" s="381">
        <v>20190815</v>
      </c>
      <c r="L46" s="381" t="s">
        <v>1790</v>
      </c>
      <c r="M46" s="397">
        <v>9357.41</v>
      </c>
      <c r="N46" s="378"/>
    </row>
    <row r="47" spans="1:242" x14ac:dyDescent="0.25">
      <c r="B47" s="381" t="s">
        <v>305</v>
      </c>
      <c r="C47" s="381" t="s">
        <v>913</v>
      </c>
      <c r="D47" s="381" t="s">
        <v>1668</v>
      </c>
      <c r="E47" s="381" t="s">
        <v>1669</v>
      </c>
      <c r="F47" s="381" t="s">
        <v>1670</v>
      </c>
      <c r="G47" s="396">
        <v>98</v>
      </c>
      <c r="H47" s="396">
        <v>0</v>
      </c>
      <c r="I47" s="396">
        <v>0</v>
      </c>
      <c r="J47" s="381">
        <v>20190816</v>
      </c>
      <c r="K47" s="381">
        <v>20190831</v>
      </c>
      <c r="L47" s="381" t="s">
        <v>1781</v>
      </c>
      <c r="M47" s="397">
        <v>5992.16</v>
      </c>
      <c r="N47" s="378"/>
    </row>
    <row r="48" spans="1:242" x14ac:dyDescent="0.25">
      <c r="B48" s="381" t="s">
        <v>305</v>
      </c>
      <c r="C48" s="381" t="s">
        <v>913</v>
      </c>
      <c r="D48" s="381" t="s">
        <v>1600</v>
      </c>
      <c r="E48" s="381" t="s">
        <v>1782</v>
      </c>
      <c r="F48" s="381" t="s">
        <v>1783</v>
      </c>
      <c r="G48" s="396">
        <v>197</v>
      </c>
      <c r="H48" s="396">
        <v>0</v>
      </c>
      <c r="I48" s="396">
        <v>0</v>
      </c>
      <c r="J48" s="381">
        <v>20190816</v>
      </c>
      <c r="K48" s="381">
        <v>20190831</v>
      </c>
      <c r="L48" s="381" t="s">
        <v>1784</v>
      </c>
      <c r="M48" s="397">
        <v>5992.16</v>
      </c>
      <c r="N48" s="378"/>
    </row>
    <row r="49" spans="2:14" x14ac:dyDescent="0.25">
      <c r="B49" s="381" t="s">
        <v>305</v>
      </c>
      <c r="C49" s="381" t="s">
        <v>913</v>
      </c>
      <c r="D49" s="381" t="s">
        <v>1791</v>
      </c>
      <c r="E49" s="381" t="s">
        <v>1792</v>
      </c>
      <c r="F49" s="381" t="s">
        <v>1794</v>
      </c>
      <c r="G49" s="396">
        <v>214</v>
      </c>
      <c r="H49" s="396">
        <v>0</v>
      </c>
      <c r="I49" s="396">
        <v>0</v>
      </c>
      <c r="J49" s="381">
        <v>20190816</v>
      </c>
      <c r="K49" s="381">
        <v>20190831</v>
      </c>
      <c r="L49" s="381" t="s">
        <v>1781</v>
      </c>
      <c r="M49" s="397">
        <v>9357.41</v>
      </c>
      <c r="N49" s="378"/>
    </row>
    <row r="50" spans="2:14" x14ac:dyDescent="0.25">
      <c r="B50" s="381" t="s">
        <v>305</v>
      </c>
      <c r="C50" s="381" t="s">
        <v>913</v>
      </c>
      <c r="D50" s="398" t="s">
        <v>1718</v>
      </c>
      <c r="E50" s="398" t="s">
        <v>1719</v>
      </c>
      <c r="F50" s="381" t="s">
        <v>1720</v>
      </c>
      <c r="G50" s="396">
        <v>128</v>
      </c>
      <c r="H50" s="396">
        <v>0</v>
      </c>
      <c r="I50" s="396">
        <v>0</v>
      </c>
      <c r="J50" s="381">
        <v>20190816</v>
      </c>
      <c r="K50" s="381">
        <v>20190831</v>
      </c>
      <c r="L50" s="381" t="s">
        <v>1785</v>
      </c>
      <c r="M50" s="397">
        <v>5992.16</v>
      </c>
      <c r="N50" s="378"/>
    </row>
    <row r="51" spans="2:14" x14ac:dyDescent="0.25">
      <c r="B51" s="381" t="s">
        <v>305</v>
      </c>
      <c r="C51" s="381" t="s">
        <v>913</v>
      </c>
      <c r="D51" s="381" t="s">
        <v>1795</v>
      </c>
      <c r="E51" s="381" t="s">
        <v>1796</v>
      </c>
      <c r="F51" s="381" t="s">
        <v>1797</v>
      </c>
      <c r="G51" s="396">
        <v>227</v>
      </c>
      <c r="H51" s="396">
        <v>0</v>
      </c>
      <c r="I51" s="396">
        <v>0</v>
      </c>
      <c r="J51" s="381">
        <v>20190816</v>
      </c>
      <c r="K51" s="381">
        <v>20190831</v>
      </c>
      <c r="L51" s="381" t="s">
        <v>1787</v>
      </c>
      <c r="M51" s="397">
        <v>5992.16</v>
      </c>
      <c r="N51" s="378"/>
    </row>
    <row r="52" spans="2:14" x14ac:dyDescent="0.25">
      <c r="B52" s="381" t="s">
        <v>305</v>
      </c>
      <c r="C52" s="381" t="s">
        <v>913</v>
      </c>
      <c r="D52" s="381" t="s">
        <v>1530</v>
      </c>
      <c r="E52" s="381" t="s">
        <v>1674</v>
      </c>
      <c r="F52" s="381" t="s">
        <v>1675</v>
      </c>
      <c r="G52" s="396">
        <v>106</v>
      </c>
      <c r="H52" s="396">
        <v>0</v>
      </c>
      <c r="I52" s="396">
        <v>0</v>
      </c>
      <c r="J52" s="381">
        <v>20190816</v>
      </c>
      <c r="K52" s="381">
        <v>20190831</v>
      </c>
      <c r="L52" s="381" t="s">
        <v>1788</v>
      </c>
      <c r="M52" s="397">
        <v>2930.6</v>
      </c>
      <c r="N52" s="378"/>
    </row>
    <row r="53" spans="2:14" x14ac:dyDescent="0.25">
      <c r="B53" s="381" t="s">
        <v>305</v>
      </c>
      <c r="C53" s="381" t="s">
        <v>913</v>
      </c>
      <c r="D53" s="381" t="s">
        <v>1679</v>
      </c>
      <c r="E53" s="381" t="s">
        <v>1680</v>
      </c>
      <c r="F53" s="381" t="s">
        <v>1681</v>
      </c>
      <c r="G53" s="396">
        <v>111</v>
      </c>
      <c r="H53" s="396">
        <v>0</v>
      </c>
      <c r="I53" s="396">
        <v>0</v>
      </c>
      <c r="J53" s="381">
        <v>20190816</v>
      </c>
      <c r="K53" s="381">
        <v>20190831</v>
      </c>
      <c r="L53" s="381" t="s">
        <v>1789</v>
      </c>
      <c r="M53" s="397">
        <v>3869.09</v>
      </c>
      <c r="N53" s="378"/>
    </row>
    <row r="54" spans="2:14" x14ac:dyDescent="0.25">
      <c r="B54" s="381" t="s">
        <v>305</v>
      </c>
      <c r="C54" s="381" t="s">
        <v>913</v>
      </c>
      <c r="D54" s="381" t="s">
        <v>1684</v>
      </c>
      <c r="E54" s="381" t="s">
        <v>1685</v>
      </c>
      <c r="F54" s="381" t="s">
        <v>1686</v>
      </c>
      <c r="G54" s="399">
        <v>115</v>
      </c>
      <c r="H54" s="396">
        <v>0</v>
      </c>
      <c r="I54" s="396">
        <v>0</v>
      </c>
      <c r="J54" s="381">
        <v>20190816</v>
      </c>
      <c r="K54" s="381">
        <v>20190831</v>
      </c>
      <c r="L54" s="381" t="s">
        <v>1789</v>
      </c>
      <c r="M54" s="397">
        <v>3869.08</v>
      </c>
      <c r="N54" s="378"/>
    </row>
    <row r="55" spans="2:14" x14ac:dyDescent="0.25">
      <c r="B55" s="381" t="s">
        <v>305</v>
      </c>
      <c r="C55" s="381" t="s">
        <v>913</v>
      </c>
      <c r="D55" s="381" t="s">
        <v>1687</v>
      </c>
      <c r="E55" s="381" t="s">
        <v>1688</v>
      </c>
      <c r="F55" s="381" t="s">
        <v>1689</v>
      </c>
      <c r="G55" s="396">
        <v>116</v>
      </c>
      <c r="H55" s="396">
        <v>0</v>
      </c>
      <c r="I55" s="396">
        <v>0</v>
      </c>
      <c r="J55" s="381">
        <v>20190816</v>
      </c>
      <c r="K55" s="381">
        <v>20190831</v>
      </c>
      <c r="L55" s="381" t="s">
        <v>1790</v>
      </c>
      <c r="M55" s="397">
        <v>9357.41</v>
      </c>
      <c r="N55" s="378"/>
    </row>
    <row r="56" spans="2:14" x14ac:dyDescent="0.25">
      <c r="B56" s="381" t="s">
        <v>305</v>
      </c>
      <c r="C56" s="381" t="s">
        <v>913</v>
      </c>
      <c r="D56" s="381" t="s">
        <v>1668</v>
      </c>
      <c r="E56" s="381" t="s">
        <v>1669</v>
      </c>
      <c r="F56" s="381" t="s">
        <v>1670</v>
      </c>
      <c r="G56" s="396">
        <v>98</v>
      </c>
      <c r="H56" s="396">
        <v>0</v>
      </c>
      <c r="I56" s="396">
        <v>0</v>
      </c>
      <c r="J56" s="381">
        <v>20190901</v>
      </c>
      <c r="K56" s="381">
        <v>20190915</v>
      </c>
      <c r="L56" s="381" t="s">
        <v>1781</v>
      </c>
      <c r="M56" s="397">
        <v>5992.16</v>
      </c>
      <c r="N56" s="378"/>
    </row>
    <row r="57" spans="2:14" x14ac:dyDescent="0.25">
      <c r="B57" s="381" t="s">
        <v>305</v>
      </c>
      <c r="C57" s="381" t="s">
        <v>913</v>
      </c>
      <c r="D57" s="381" t="s">
        <v>1600</v>
      </c>
      <c r="E57" s="381" t="s">
        <v>1782</v>
      </c>
      <c r="F57" s="381" t="s">
        <v>1783</v>
      </c>
      <c r="G57" s="396">
        <v>197</v>
      </c>
      <c r="H57" s="396">
        <v>0</v>
      </c>
      <c r="I57" s="396">
        <v>0</v>
      </c>
      <c r="J57" s="381">
        <v>20190901</v>
      </c>
      <c r="K57" s="381">
        <v>20190915</v>
      </c>
      <c r="L57" s="381" t="s">
        <v>1784</v>
      </c>
      <c r="M57" s="397">
        <v>5992.16</v>
      </c>
      <c r="N57" s="378"/>
    </row>
    <row r="58" spans="2:14" x14ac:dyDescent="0.25">
      <c r="B58" s="381" t="s">
        <v>305</v>
      </c>
      <c r="C58" s="381" t="s">
        <v>913</v>
      </c>
      <c r="D58" s="381" t="s">
        <v>1791</v>
      </c>
      <c r="E58" s="381" t="s">
        <v>1792</v>
      </c>
      <c r="F58" s="381" t="s">
        <v>1794</v>
      </c>
      <c r="G58" s="396">
        <v>214</v>
      </c>
      <c r="H58" s="396">
        <v>0</v>
      </c>
      <c r="I58" s="396">
        <v>0</v>
      </c>
      <c r="J58" s="381">
        <v>20190901</v>
      </c>
      <c r="K58" s="381">
        <v>20190915</v>
      </c>
      <c r="L58" s="381" t="s">
        <v>1781</v>
      </c>
      <c r="M58" s="397">
        <v>9357.41</v>
      </c>
      <c r="N58" s="378"/>
    </row>
    <row r="59" spans="2:14" x14ac:dyDescent="0.25">
      <c r="B59" s="381" t="s">
        <v>305</v>
      </c>
      <c r="C59" s="381" t="s">
        <v>913</v>
      </c>
      <c r="D59" s="398" t="s">
        <v>1718</v>
      </c>
      <c r="E59" s="398" t="s">
        <v>1719</v>
      </c>
      <c r="F59" s="381" t="s">
        <v>1720</v>
      </c>
      <c r="G59" s="396">
        <v>128</v>
      </c>
      <c r="H59" s="396">
        <v>0</v>
      </c>
      <c r="I59" s="396">
        <v>0</v>
      </c>
      <c r="J59" s="381">
        <v>20190901</v>
      </c>
      <c r="K59" s="381">
        <v>20190915</v>
      </c>
      <c r="L59" s="381" t="s">
        <v>1785</v>
      </c>
      <c r="M59" s="397">
        <v>5992.16</v>
      </c>
      <c r="N59" s="378"/>
    </row>
    <row r="60" spans="2:14" x14ac:dyDescent="0.25">
      <c r="B60" s="381" t="s">
        <v>305</v>
      </c>
      <c r="C60" s="381" t="s">
        <v>913</v>
      </c>
      <c r="D60" s="381" t="s">
        <v>1795</v>
      </c>
      <c r="E60" s="381" t="s">
        <v>1796</v>
      </c>
      <c r="F60" s="381" t="s">
        <v>1797</v>
      </c>
      <c r="G60" s="396">
        <v>227</v>
      </c>
      <c r="H60" s="396">
        <v>0</v>
      </c>
      <c r="I60" s="396">
        <v>0</v>
      </c>
      <c r="J60" s="381">
        <v>20190901</v>
      </c>
      <c r="K60" s="381">
        <v>20190915</v>
      </c>
      <c r="L60" s="381" t="s">
        <v>1787</v>
      </c>
      <c r="M60" s="397">
        <v>5992.16</v>
      </c>
      <c r="N60" s="378"/>
    </row>
    <row r="61" spans="2:14" x14ac:dyDescent="0.25">
      <c r="B61" s="381" t="s">
        <v>305</v>
      </c>
      <c r="C61" s="381" t="s">
        <v>913</v>
      </c>
      <c r="D61" s="381" t="s">
        <v>1530</v>
      </c>
      <c r="E61" s="381" t="s">
        <v>1674</v>
      </c>
      <c r="F61" s="381" t="s">
        <v>1675</v>
      </c>
      <c r="G61" s="396">
        <v>106</v>
      </c>
      <c r="H61" s="396">
        <v>0</v>
      </c>
      <c r="I61" s="396">
        <v>0</v>
      </c>
      <c r="J61" s="381">
        <v>20190901</v>
      </c>
      <c r="K61" s="381">
        <v>20190915</v>
      </c>
      <c r="L61" s="381" t="s">
        <v>1788</v>
      </c>
      <c r="M61" s="397">
        <v>2930.6</v>
      </c>
      <c r="N61" s="378"/>
    </row>
    <row r="62" spans="2:14" x14ac:dyDescent="0.25">
      <c r="B62" s="381" t="s">
        <v>305</v>
      </c>
      <c r="C62" s="381" t="s">
        <v>913</v>
      </c>
      <c r="D62" s="381" t="s">
        <v>1679</v>
      </c>
      <c r="E62" s="381" t="s">
        <v>1680</v>
      </c>
      <c r="F62" s="381" t="s">
        <v>1681</v>
      </c>
      <c r="G62" s="396">
        <v>111</v>
      </c>
      <c r="H62" s="396">
        <v>0</v>
      </c>
      <c r="I62" s="396">
        <v>0</v>
      </c>
      <c r="J62" s="381">
        <v>20190901</v>
      </c>
      <c r="K62" s="381">
        <v>20190915</v>
      </c>
      <c r="L62" s="381" t="s">
        <v>1789</v>
      </c>
      <c r="M62" s="397">
        <v>3869.09</v>
      </c>
      <c r="N62" s="378"/>
    </row>
    <row r="63" spans="2:14" x14ac:dyDescent="0.25">
      <c r="B63" s="381" t="s">
        <v>305</v>
      </c>
      <c r="C63" s="381" t="s">
        <v>913</v>
      </c>
      <c r="D63" s="381" t="s">
        <v>1684</v>
      </c>
      <c r="E63" s="381" t="s">
        <v>1685</v>
      </c>
      <c r="F63" s="381" t="s">
        <v>1686</v>
      </c>
      <c r="G63" s="399">
        <v>115</v>
      </c>
      <c r="H63" s="396">
        <v>0</v>
      </c>
      <c r="I63" s="396">
        <v>0</v>
      </c>
      <c r="J63" s="381">
        <v>20190901</v>
      </c>
      <c r="K63" s="381">
        <v>20190915</v>
      </c>
      <c r="L63" s="381" t="s">
        <v>1789</v>
      </c>
      <c r="M63" s="397">
        <v>3869.08</v>
      </c>
      <c r="N63" s="378"/>
    </row>
    <row r="64" spans="2:14" x14ac:dyDescent="0.25">
      <c r="B64" s="381" t="s">
        <v>305</v>
      </c>
      <c r="C64" s="381" t="s">
        <v>913</v>
      </c>
      <c r="D64" s="381" t="s">
        <v>1687</v>
      </c>
      <c r="E64" s="381" t="s">
        <v>1688</v>
      </c>
      <c r="F64" s="381" t="s">
        <v>1689</v>
      </c>
      <c r="G64" s="396">
        <v>116</v>
      </c>
      <c r="H64" s="396">
        <v>0</v>
      </c>
      <c r="I64" s="396">
        <v>0</v>
      </c>
      <c r="J64" s="381">
        <v>20190901</v>
      </c>
      <c r="K64" s="381">
        <v>20190915</v>
      </c>
      <c r="L64" s="381" t="s">
        <v>1790</v>
      </c>
      <c r="M64" s="397">
        <v>9357.41</v>
      </c>
      <c r="N64" s="378"/>
    </row>
    <row r="65" spans="2:14" x14ac:dyDescent="0.25">
      <c r="B65" s="381" t="s">
        <v>305</v>
      </c>
      <c r="C65" s="381" t="s">
        <v>913</v>
      </c>
      <c r="D65" s="381" t="s">
        <v>1798</v>
      </c>
      <c r="E65" s="381" t="s">
        <v>1799</v>
      </c>
      <c r="F65" s="381" t="s">
        <v>1800</v>
      </c>
      <c r="G65" s="399">
        <v>232</v>
      </c>
      <c r="H65" s="396">
        <v>0</v>
      </c>
      <c r="I65" s="396">
        <v>0</v>
      </c>
      <c r="J65" s="381">
        <v>20190816</v>
      </c>
      <c r="K65" s="381">
        <v>20190915</v>
      </c>
      <c r="L65" s="381" t="s">
        <v>1801</v>
      </c>
      <c r="M65" s="400">
        <v>6010.18</v>
      </c>
      <c r="N65" s="378"/>
    </row>
    <row r="66" spans="2:14" x14ac:dyDescent="0.25">
      <c r="B66" s="381" t="s">
        <v>305</v>
      </c>
      <c r="C66" s="381" t="s">
        <v>913</v>
      </c>
      <c r="D66" s="381" t="s">
        <v>1802</v>
      </c>
      <c r="E66" s="381" t="s">
        <v>1803</v>
      </c>
      <c r="F66" s="381" t="s">
        <v>1804</v>
      </c>
      <c r="G66" s="396">
        <v>235</v>
      </c>
      <c r="H66" s="396">
        <v>0</v>
      </c>
      <c r="I66" s="396">
        <v>0</v>
      </c>
      <c r="J66" s="381">
        <v>20190816</v>
      </c>
      <c r="K66" s="381">
        <v>20190915</v>
      </c>
      <c r="L66" s="381" t="s">
        <v>1805</v>
      </c>
      <c r="M66" s="381">
        <v>8289.7199999999993</v>
      </c>
      <c r="N66" s="378"/>
    </row>
    <row r="67" spans="2:14" x14ac:dyDescent="0.25">
      <c r="B67" s="381" t="s">
        <v>305</v>
      </c>
      <c r="C67" s="381" t="s">
        <v>913</v>
      </c>
      <c r="D67" s="381" t="s">
        <v>1806</v>
      </c>
      <c r="E67" s="381" t="s">
        <v>1807</v>
      </c>
      <c r="F67" s="381" t="s">
        <v>1808</v>
      </c>
      <c r="G67" s="399">
        <v>236</v>
      </c>
      <c r="H67" s="396">
        <v>0</v>
      </c>
      <c r="I67" s="396">
        <v>0</v>
      </c>
      <c r="J67" s="381">
        <v>20190816</v>
      </c>
      <c r="K67" s="381">
        <v>20190915</v>
      </c>
      <c r="L67" s="381" t="s">
        <v>1805</v>
      </c>
      <c r="M67" s="381">
        <v>8289.7199999999993</v>
      </c>
      <c r="N67" s="378"/>
    </row>
    <row r="68" spans="2:14" x14ac:dyDescent="0.25">
      <c r="B68" s="381" t="s">
        <v>305</v>
      </c>
      <c r="C68" s="381" t="s">
        <v>913</v>
      </c>
      <c r="D68" s="381" t="s">
        <v>1809</v>
      </c>
      <c r="E68" s="381" t="s">
        <v>1810</v>
      </c>
      <c r="F68" s="381" t="s">
        <v>1811</v>
      </c>
      <c r="G68" s="396">
        <v>237</v>
      </c>
      <c r="H68" s="396">
        <v>0</v>
      </c>
      <c r="I68" s="396">
        <v>0</v>
      </c>
      <c r="J68" s="381">
        <v>20190816</v>
      </c>
      <c r="K68" s="381">
        <v>20190915</v>
      </c>
      <c r="L68" s="381" t="s">
        <v>1805</v>
      </c>
      <c r="M68" s="381">
        <v>8289.7199999999993</v>
      </c>
      <c r="N68" s="378"/>
    </row>
    <row r="69" spans="2:14" x14ac:dyDescent="0.25">
      <c r="B69" s="381" t="s">
        <v>305</v>
      </c>
      <c r="C69" s="381" t="s">
        <v>913</v>
      </c>
      <c r="D69" s="381" t="s">
        <v>1812</v>
      </c>
      <c r="E69" s="381" t="s">
        <v>1813</v>
      </c>
      <c r="F69" s="381" t="s">
        <v>1814</v>
      </c>
      <c r="G69" s="399">
        <v>238</v>
      </c>
      <c r="H69" s="396">
        <v>0</v>
      </c>
      <c r="I69" s="396">
        <v>0</v>
      </c>
      <c r="J69" s="381">
        <v>20190816</v>
      </c>
      <c r="K69" s="381">
        <v>20190831</v>
      </c>
      <c r="L69" s="381" t="s">
        <v>1805</v>
      </c>
      <c r="M69" s="381">
        <v>4144.8599999999997</v>
      </c>
      <c r="N69" s="378"/>
    </row>
    <row r="70" spans="2:14" x14ac:dyDescent="0.25">
      <c r="B70" s="381" t="s">
        <v>305</v>
      </c>
      <c r="C70" s="381" t="s">
        <v>913</v>
      </c>
      <c r="D70" s="381" t="s">
        <v>1815</v>
      </c>
      <c r="E70" s="381" t="s">
        <v>1816</v>
      </c>
      <c r="F70" s="381" t="s">
        <v>1817</v>
      </c>
      <c r="G70" s="396">
        <v>239</v>
      </c>
      <c r="H70" s="396">
        <v>0</v>
      </c>
      <c r="I70" s="396">
        <v>0</v>
      </c>
      <c r="J70" s="381">
        <v>20190902</v>
      </c>
      <c r="K70" s="381">
        <v>20190915</v>
      </c>
      <c r="L70" s="381" t="s">
        <v>1805</v>
      </c>
      <c r="M70" s="381">
        <v>3868.54</v>
      </c>
      <c r="N70" s="378"/>
    </row>
    <row r="71" spans="2:14" x14ac:dyDescent="0.25">
      <c r="B71" s="381" t="s">
        <v>305</v>
      </c>
      <c r="C71" s="381" t="s">
        <v>913</v>
      </c>
      <c r="D71" s="381" t="s">
        <v>1818</v>
      </c>
      <c r="E71" s="381" t="s">
        <v>1819</v>
      </c>
      <c r="F71" s="381" t="s">
        <v>1820</v>
      </c>
      <c r="G71" s="399">
        <v>240</v>
      </c>
      <c r="H71" s="396">
        <v>0</v>
      </c>
      <c r="I71" s="396">
        <v>0</v>
      </c>
      <c r="J71" s="381">
        <v>20190816</v>
      </c>
      <c r="K71" s="381">
        <v>20190915</v>
      </c>
      <c r="L71" s="381" t="s">
        <v>1805</v>
      </c>
      <c r="M71" s="381">
        <v>8289.7199999999993</v>
      </c>
      <c r="N71" s="378"/>
    </row>
    <row r="72" spans="2:14" x14ac:dyDescent="0.25">
      <c r="B72" s="381" t="s">
        <v>305</v>
      </c>
      <c r="C72" s="381" t="s">
        <v>913</v>
      </c>
      <c r="D72" s="381" t="s">
        <v>1821</v>
      </c>
      <c r="E72" s="381" t="s">
        <v>1822</v>
      </c>
      <c r="F72" s="381" t="s">
        <v>1823</v>
      </c>
      <c r="G72" s="396">
        <v>241</v>
      </c>
      <c r="H72" s="396">
        <v>0</v>
      </c>
      <c r="I72" s="396">
        <v>0</v>
      </c>
      <c r="J72" s="381">
        <v>20190816</v>
      </c>
      <c r="K72" s="381">
        <v>20190915</v>
      </c>
      <c r="L72" s="381" t="s">
        <v>1805</v>
      </c>
      <c r="M72" s="381">
        <v>8289.7199999999993</v>
      </c>
      <c r="N72" s="378"/>
    </row>
    <row r="73" spans="2:14" x14ac:dyDescent="0.25">
      <c r="B73" s="381" t="s">
        <v>305</v>
      </c>
      <c r="C73" s="381" t="s">
        <v>913</v>
      </c>
      <c r="D73" s="381" t="s">
        <v>1824</v>
      </c>
      <c r="E73" s="381" t="s">
        <v>1825</v>
      </c>
      <c r="F73" s="381" t="s">
        <v>1826</v>
      </c>
      <c r="G73" s="399">
        <v>242</v>
      </c>
      <c r="H73" s="396">
        <v>0</v>
      </c>
      <c r="I73" s="396">
        <v>0</v>
      </c>
      <c r="J73" s="381">
        <v>20190816</v>
      </c>
      <c r="K73" s="381">
        <v>20190915</v>
      </c>
      <c r="L73" s="381" t="s">
        <v>1805</v>
      </c>
      <c r="M73" s="381">
        <v>8289.7199999999993</v>
      </c>
      <c r="N73" s="378"/>
    </row>
    <row r="74" spans="2:14" x14ac:dyDescent="0.25">
      <c r="B74" s="381" t="s">
        <v>305</v>
      </c>
      <c r="C74" s="381" t="s">
        <v>913</v>
      </c>
      <c r="D74" s="381" t="s">
        <v>1827</v>
      </c>
      <c r="E74" s="381" t="s">
        <v>1828</v>
      </c>
      <c r="F74" s="381" t="s">
        <v>1829</v>
      </c>
      <c r="G74" s="396">
        <v>243</v>
      </c>
      <c r="H74" s="396">
        <v>0</v>
      </c>
      <c r="I74" s="396">
        <v>0</v>
      </c>
      <c r="J74" s="381">
        <v>20190816</v>
      </c>
      <c r="K74" s="381">
        <v>20190915</v>
      </c>
      <c r="L74" s="381" t="s">
        <v>1805</v>
      </c>
      <c r="M74" s="381">
        <v>8289.7199999999993</v>
      </c>
      <c r="N74" s="378"/>
    </row>
    <row r="75" spans="2:14" x14ac:dyDescent="0.25">
      <c r="B75" s="381" t="s">
        <v>305</v>
      </c>
      <c r="C75" s="381" t="s">
        <v>913</v>
      </c>
      <c r="D75" s="381" t="s">
        <v>1830</v>
      </c>
      <c r="E75" s="381" t="s">
        <v>1831</v>
      </c>
      <c r="F75" s="381" t="s">
        <v>1832</v>
      </c>
      <c r="G75" s="399">
        <v>244</v>
      </c>
      <c r="H75" s="396">
        <v>0</v>
      </c>
      <c r="I75" s="396">
        <v>0</v>
      </c>
      <c r="J75" s="381">
        <v>20190816</v>
      </c>
      <c r="K75" s="381">
        <v>20190915</v>
      </c>
      <c r="L75" s="381" t="s">
        <v>1805</v>
      </c>
      <c r="M75" s="381">
        <v>8289.7199999999993</v>
      </c>
      <c r="N75" s="378"/>
    </row>
    <row r="76" spans="2:14" x14ac:dyDescent="0.25">
      <c r="B76" s="381" t="s">
        <v>305</v>
      </c>
      <c r="C76" s="381" t="s">
        <v>913</v>
      </c>
      <c r="D76" s="381" t="s">
        <v>1833</v>
      </c>
      <c r="E76" s="381" t="s">
        <v>1834</v>
      </c>
      <c r="F76" s="381" t="s">
        <v>1835</v>
      </c>
      <c r="G76" s="396">
        <v>245</v>
      </c>
      <c r="H76" s="396">
        <v>0</v>
      </c>
      <c r="I76" s="396">
        <v>0</v>
      </c>
      <c r="J76" s="381">
        <v>20190816</v>
      </c>
      <c r="K76" s="381">
        <v>20190915</v>
      </c>
      <c r="L76" s="381" t="s">
        <v>1805</v>
      </c>
      <c r="M76" s="381">
        <v>8289.7199999999993</v>
      </c>
      <c r="N76" s="378"/>
    </row>
    <row r="77" spans="2:14" x14ac:dyDescent="0.25">
      <c r="B77" s="381" t="s">
        <v>305</v>
      </c>
      <c r="C77" s="381" t="s">
        <v>913</v>
      </c>
      <c r="D77" s="381" t="s">
        <v>1836</v>
      </c>
      <c r="E77" s="381" t="s">
        <v>1837</v>
      </c>
      <c r="F77" s="381" t="s">
        <v>1838</v>
      </c>
      <c r="G77" s="399">
        <v>246</v>
      </c>
      <c r="H77" s="396">
        <v>0</v>
      </c>
      <c r="I77" s="396">
        <v>0</v>
      </c>
      <c r="J77" s="381">
        <v>20190816</v>
      </c>
      <c r="K77" s="381">
        <v>20190915</v>
      </c>
      <c r="L77" s="381" t="s">
        <v>1805</v>
      </c>
      <c r="M77" s="381">
        <v>8289.7199999999993</v>
      </c>
    </row>
    <row r="78" spans="2:14" x14ac:dyDescent="0.25">
      <c r="B78" s="381" t="s">
        <v>305</v>
      </c>
      <c r="C78" s="381" t="s">
        <v>913</v>
      </c>
      <c r="D78" s="381" t="s">
        <v>1839</v>
      </c>
      <c r="E78" s="381" t="s">
        <v>1840</v>
      </c>
      <c r="F78" s="381" t="s">
        <v>1841</v>
      </c>
      <c r="G78" s="396">
        <v>247</v>
      </c>
      <c r="H78" s="396">
        <v>0</v>
      </c>
      <c r="I78" s="396">
        <v>0</v>
      </c>
      <c r="J78" s="381">
        <v>20190816</v>
      </c>
      <c r="K78" s="381">
        <v>20190915</v>
      </c>
      <c r="L78" s="381" t="s">
        <v>1805</v>
      </c>
      <c r="M78" s="381">
        <v>8289.7199999999993</v>
      </c>
    </row>
    <row r="79" spans="2:14" x14ac:dyDescent="0.25">
      <c r="B79" s="381" t="s">
        <v>305</v>
      </c>
      <c r="C79" s="381" t="s">
        <v>913</v>
      </c>
      <c r="D79" s="381" t="s">
        <v>1842</v>
      </c>
      <c r="E79" s="381" t="s">
        <v>1843</v>
      </c>
      <c r="F79" s="381" t="s">
        <v>1844</v>
      </c>
      <c r="G79" s="399">
        <v>248</v>
      </c>
      <c r="H79" s="396">
        <v>0</v>
      </c>
      <c r="I79" s="396">
        <v>0</v>
      </c>
      <c r="J79" s="381">
        <v>20190816</v>
      </c>
      <c r="K79" s="381">
        <v>20190915</v>
      </c>
      <c r="L79" s="381" t="s">
        <v>1805</v>
      </c>
      <c r="M79" s="381">
        <v>8289.7199999999993</v>
      </c>
    </row>
    <row r="80" spans="2:14" x14ac:dyDescent="0.25">
      <c r="B80" s="381" t="s">
        <v>305</v>
      </c>
      <c r="C80" s="381" t="s">
        <v>913</v>
      </c>
      <c r="D80" s="381" t="s">
        <v>1845</v>
      </c>
      <c r="E80" s="381" t="s">
        <v>1846</v>
      </c>
      <c r="F80" s="381" t="s">
        <v>1847</v>
      </c>
      <c r="G80" s="396">
        <v>249</v>
      </c>
      <c r="H80" s="396">
        <v>0</v>
      </c>
      <c r="I80" s="396">
        <v>0</v>
      </c>
      <c r="J80" s="381">
        <v>20190816</v>
      </c>
      <c r="K80" s="381">
        <v>20190915</v>
      </c>
      <c r="L80" s="381" t="s">
        <v>1805</v>
      </c>
      <c r="M80" s="381">
        <v>8289.7199999999993</v>
      </c>
    </row>
    <row r="81" spans="2:13" x14ac:dyDescent="0.25">
      <c r="B81" s="381" t="s">
        <v>305</v>
      </c>
      <c r="C81" s="381" t="s">
        <v>913</v>
      </c>
      <c r="D81" s="381" t="s">
        <v>1848</v>
      </c>
      <c r="E81" s="381" t="s">
        <v>1849</v>
      </c>
      <c r="F81" s="381" t="s">
        <v>1850</v>
      </c>
      <c r="G81" s="399">
        <v>250</v>
      </c>
      <c r="H81" s="396">
        <v>0</v>
      </c>
      <c r="I81" s="396">
        <v>0</v>
      </c>
      <c r="J81" s="381">
        <v>20190816</v>
      </c>
      <c r="K81" s="381">
        <v>20190915</v>
      </c>
      <c r="L81" s="381" t="s">
        <v>1805</v>
      </c>
      <c r="M81" s="381">
        <v>8289.7199999999993</v>
      </c>
    </row>
    <row r="82" spans="2:13" x14ac:dyDescent="0.25">
      <c r="B82" s="381" t="s">
        <v>305</v>
      </c>
      <c r="C82" s="381" t="s">
        <v>913</v>
      </c>
      <c r="D82" s="381" t="s">
        <v>1851</v>
      </c>
      <c r="E82" s="381" t="s">
        <v>1852</v>
      </c>
      <c r="F82" s="381" t="s">
        <v>1853</v>
      </c>
      <c r="G82" s="396">
        <v>251</v>
      </c>
      <c r="H82" s="396">
        <v>0</v>
      </c>
      <c r="I82" s="396">
        <v>0</v>
      </c>
      <c r="J82" s="381">
        <v>20190816</v>
      </c>
      <c r="K82" s="381">
        <v>20190915</v>
      </c>
      <c r="L82" s="381" t="s">
        <v>1805</v>
      </c>
      <c r="M82" s="381">
        <v>8289.7199999999993</v>
      </c>
    </row>
    <row r="83" spans="2:13" x14ac:dyDescent="0.25">
      <c r="B83" s="381" t="s">
        <v>305</v>
      </c>
      <c r="C83" s="381" t="s">
        <v>913</v>
      </c>
      <c r="D83" s="381" t="s">
        <v>1854</v>
      </c>
      <c r="E83" s="381" t="s">
        <v>1855</v>
      </c>
      <c r="F83" s="381" t="s">
        <v>1856</v>
      </c>
      <c r="G83" s="399">
        <v>252</v>
      </c>
      <c r="H83" s="396">
        <v>0</v>
      </c>
      <c r="I83" s="396">
        <v>0</v>
      </c>
      <c r="J83" s="381">
        <v>20190816</v>
      </c>
      <c r="K83" s="381">
        <v>20190915</v>
      </c>
      <c r="L83" s="381" t="s">
        <v>1805</v>
      </c>
      <c r="M83" s="381">
        <v>8289.7199999999993</v>
      </c>
    </row>
    <row r="84" spans="2:13" x14ac:dyDescent="0.25">
      <c r="B84" s="381" t="s">
        <v>305</v>
      </c>
      <c r="C84" s="381" t="s">
        <v>913</v>
      </c>
      <c r="D84" s="381" t="s">
        <v>1857</v>
      </c>
      <c r="E84" s="381" t="s">
        <v>1858</v>
      </c>
      <c r="F84" s="381" t="s">
        <v>1859</v>
      </c>
      <c r="G84" s="396">
        <v>253</v>
      </c>
      <c r="H84" s="396">
        <v>0</v>
      </c>
      <c r="I84" s="396">
        <v>0</v>
      </c>
      <c r="J84" s="381">
        <v>20190816</v>
      </c>
      <c r="K84" s="381">
        <v>20190915</v>
      </c>
      <c r="L84" s="381" t="s">
        <v>1805</v>
      </c>
      <c r="M84" s="381">
        <v>8289.7199999999993</v>
      </c>
    </row>
    <row r="85" spans="2:13" x14ac:dyDescent="0.25">
      <c r="B85" s="381" t="s">
        <v>305</v>
      </c>
      <c r="C85" s="381" t="s">
        <v>913</v>
      </c>
      <c r="D85" s="381" t="s">
        <v>1860</v>
      </c>
      <c r="E85" s="381" t="s">
        <v>1861</v>
      </c>
      <c r="F85" s="381" t="s">
        <v>1862</v>
      </c>
      <c r="G85" s="399">
        <v>254</v>
      </c>
      <c r="H85" s="396">
        <v>0</v>
      </c>
      <c r="I85" s="396">
        <v>0</v>
      </c>
      <c r="J85" s="381">
        <v>20190902</v>
      </c>
      <c r="K85" s="381">
        <v>20190915</v>
      </c>
      <c r="L85" s="381" t="s">
        <v>1863</v>
      </c>
      <c r="M85" s="381">
        <v>2734.88</v>
      </c>
    </row>
    <row r="86" spans="2:13" x14ac:dyDescent="0.25">
      <c r="B86" s="381" t="s">
        <v>305</v>
      </c>
      <c r="C86" s="381" t="s">
        <v>913</v>
      </c>
      <c r="D86" s="381" t="s">
        <v>1864</v>
      </c>
      <c r="E86" s="381" t="s">
        <v>1865</v>
      </c>
      <c r="F86" s="381" t="s">
        <v>1866</v>
      </c>
      <c r="G86" s="396">
        <v>255</v>
      </c>
      <c r="H86" s="396">
        <v>0</v>
      </c>
      <c r="I86" s="396">
        <v>0</v>
      </c>
      <c r="J86" s="381">
        <v>20190816</v>
      </c>
      <c r="K86" s="381">
        <v>20190915</v>
      </c>
      <c r="L86" s="381" t="s">
        <v>1863</v>
      </c>
      <c r="M86" s="381">
        <v>5860.46</v>
      </c>
    </row>
    <row r="87" spans="2:13" x14ac:dyDescent="0.25">
      <c r="B87" s="381" t="s">
        <v>305</v>
      </c>
      <c r="C87" s="381" t="s">
        <v>913</v>
      </c>
      <c r="D87" s="381" t="s">
        <v>1867</v>
      </c>
      <c r="E87" s="381" t="s">
        <v>1868</v>
      </c>
      <c r="F87" s="381" t="s">
        <v>1869</v>
      </c>
      <c r="G87" s="399">
        <v>256</v>
      </c>
      <c r="H87" s="396">
        <v>0</v>
      </c>
      <c r="I87" s="396">
        <v>0</v>
      </c>
      <c r="J87" s="381">
        <v>20190816</v>
      </c>
      <c r="K87" s="381">
        <v>20190915</v>
      </c>
      <c r="L87" s="381" t="s">
        <v>1863</v>
      </c>
      <c r="M87" s="381">
        <v>5860.46</v>
      </c>
    </row>
    <row r="88" spans="2:13" x14ac:dyDescent="0.25">
      <c r="B88" s="381" t="s">
        <v>305</v>
      </c>
      <c r="C88" s="381" t="s">
        <v>913</v>
      </c>
      <c r="D88" s="381" t="s">
        <v>1870</v>
      </c>
      <c r="E88" s="381" t="s">
        <v>1871</v>
      </c>
      <c r="F88" s="381" t="s">
        <v>1872</v>
      </c>
      <c r="G88" s="396">
        <v>257</v>
      </c>
      <c r="H88" s="396">
        <v>0</v>
      </c>
      <c r="I88" s="396">
        <v>0</v>
      </c>
      <c r="J88" s="381">
        <v>20190816</v>
      </c>
      <c r="K88" s="381">
        <v>20190915</v>
      </c>
      <c r="L88" s="381" t="s">
        <v>1863</v>
      </c>
      <c r="M88" s="381">
        <v>5860.46</v>
      </c>
    </row>
    <row r="89" spans="2:13" x14ac:dyDescent="0.25">
      <c r="B89" s="381" t="s">
        <v>305</v>
      </c>
      <c r="C89" s="381" t="s">
        <v>913</v>
      </c>
      <c r="D89" s="381" t="s">
        <v>1873</v>
      </c>
      <c r="E89" s="381" t="s">
        <v>1874</v>
      </c>
      <c r="F89" s="381" t="s">
        <v>1875</v>
      </c>
      <c r="G89" s="399">
        <v>258</v>
      </c>
      <c r="H89" s="396">
        <v>0</v>
      </c>
      <c r="I89" s="396">
        <v>0</v>
      </c>
      <c r="J89" s="381">
        <v>20190816</v>
      </c>
      <c r="K89" s="381">
        <v>20190915</v>
      </c>
      <c r="L89" s="381" t="s">
        <v>1863</v>
      </c>
      <c r="M89" s="381">
        <v>5860.46</v>
      </c>
    </row>
    <row r="90" spans="2:13" x14ac:dyDescent="0.25">
      <c r="B90" s="381" t="s">
        <v>305</v>
      </c>
      <c r="C90" s="381" t="s">
        <v>913</v>
      </c>
      <c r="D90" s="381" t="s">
        <v>1876</v>
      </c>
      <c r="E90" s="381" t="s">
        <v>1877</v>
      </c>
      <c r="F90" s="381" t="s">
        <v>1878</v>
      </c>
      <c r="G90" s="396">
        <v>259</v>
      </c>
      <c r="H90" s="396">
        <v>0</v>
      </c>
      <c r="I90" s="396">
        <v>0</v>
      </c>
      <c r="J90" s="381">
        <v>20190816</v>
      </c>
      <c r="K90" s="381">
        <v>20190915</v>
      </c>
      <c r="L90" s="381" t="s">
        <v>1863</v>
      </c>
      <c r="M90" s="381">
        <v>5860.46</v>
      </c>
    </row>
    <row r="91" spans="2:13" x14ac:dyDescent="0.25">
      <c r="B91" s="381" t="s">
        <v>305</v>
      </c>
      <c r="C91" s="381" t="s">
        <v>913</v>
      </c>
      <c r="D91" s="381" t="s">
        <v>1879</v>
      </c>
      <c r="E91" s="381" t="s">
        <v>1880</v>
      </c>
      <c r="F91" s="381" t="s">
        <v>1881</v>
      </c>
      <c r="G91" s="399">
        <v>260</v>
      </c>
      <c r="H91" s="396">
        <v>0</v>
      </c>
      <c r="I91" s="396">
        <v>0</v>
      </c>
      <c r="J91" s="381">
        <v>20190816</v>
      </c>
      <c r="K91" s="381">
        <v>20190915</v>
      </c>
      <c r="L91" s="381" t="s">
        <v>1863</v>
      </c>
      <c r="M91" s="381">
        <v>5860.46</v>
      </c>
    </row>
    <row r="92" spans="2:13" x14ac:dyDescent="0.25">
      <c r="B92" s="381" t="s">
        <v>305</v>
      </c>
      <c r="C92" s="381" t="s">
        <v>913</v>
      </c>
      <c r="D92" s="381" t="s">
        <v>1882</v>
      </c>
      <c r="E92" s="381" t="s">
        <v>1883</v>
      </c>
      <c r="F92" s="381" t="s">
        <v>1884</v>
      </c>
      <c r="G92" s="396">
        <v>261</v>
      </c>
      <c r="H92" s="396">
        <v>0</v>
      </c>
      <c r="I92" s="396">
        <v>0</v>
      </c>
      <c r="J92" s="381">
        <v>20190816</v>
      </c>
      <c r="K92" s="381">
        <v>20190915</v>
      </c>
      <c r="L92" s="381" t="s">
        <v>1863</v>
      </c>
      <c r="M92" s="381">
        <v>5860.46</v>
      </c>
    </row>
    <row r="93" spans="2:13" x14ac:dyDescent="0.25">
      <c r="B93" s="381" t="s">
        <v>305</v>
      </c>
      <c r="C93" s="381" t="s">
        <v>913</v>
      </c>
      <c r="D93" s="381" t="s">
        <v>1885</v>
      </c>
      <c r="E93" s="381" t="s">
        <v>1886</v>
      </c>
      <c r="F93" s="381" t="s">
        <v>1887</v>
      </c>
      <c r="G93" s="399">
        <v>262</v>
      </c>
      <c r="H93" s="396">
        <v>0</v>
      </c>
      <c r="I93" s="396">
        <v>0</v>
      </c>
      <c r="J93" s="381">
        <v>20190816</v>
      </c>
      <c r="K93" s="381">
        <v>20190831</v>
      </c>
      <c r="L93" s="381" t="s">
        <v>1863</v>
      </c>
      <c r="M93" s="381">
        <v>2930.23</v>
      </c>
    </row>
    <row r="94" spans="2:13" x14ac:dyDescent="0.25">
      <c r="B94" s="381" t="s">
        <v>305</v>
      </c>
      <c r="C94" s="381" t="s">
        <v>913</v>
      </c>
      <c r="D94" s="381" t="s">
        <v>1888</v>
      </c>
      <c r="E94" s="381" t="s">
        <v>1889</v>
      </c>
      <c r="F94" s="381" t="s">
        <v>1890</v>
      </c>
      <c r="G94" s="396">
        <v>263</v>
      </c>
      <c r="H94" s="396">
        <v>0</v>
      </c>
      <c r="I94" s="396">
        <v>0</v>
      </c>
      <c r="J94" s="381">
        <v>20190816</v>
      </c>
      <c r="K94" s="381">
        <v>20190915</v>
      </c>
      <c r="L94" s="381" t="s">
        <v>1863</v>
      </c>
      <c r="M94" s="381">
        <v>5860.46</v>
      </c>
    </row>
    <row r="95" spans="2:13" x14ac:dyDescent="0.25">
      <c r="B95" s="381" t="s">
        <v>305</v>
      </c>
      <c r="C95" s="381" t="s">
        <v>913</v>
      </c>
      <c r="D95" s="381" t="s">
        <v>1891</v>
      </c>
      <c r="E95" s="381" t="s">
        <v>1892</v>
      </c>
      <c r="F95" s="381" t="s">
        <v>1893</v>
      </c>
      <c r="G95" s="399">
        <v>264</v>
      </c>
      <c r="H95" s="396">
        <v>0</v>
      </c>
      <c r="I95" s="396">
        <v>0</v>
      </c>
      <c r="J95" s="381">
        <v>20190816</v>
      </c>
      <c r="K95" s="381">
        <v>20190915</v>
      </c>
      <c r="L95" s="381" t="s">
        <v>1863</v>
      </c>
      <c r="M95" s="381">
        <v>5860.46</v>
      </c>
    </row>
    <row r="96" spans="2:13" x14ac:dyDescent="0.25">
      <c r="B96" s="381" t="s">
        <v>305</v>
      </c>
      <c r="C96" s="381" t="s">
        <v>913</v>
      </c>
      <c r="D96" s="381" t="s">
        <v>1894</v>
      </c>
      <c r="E96" s="381" t="s">
        <v>1895</v>
      </c>
      <c r="F96" s="381" t="s">
        <v>1896</v>
      </c>
      <c r="G96" s="396">
        <v>265</v>
      </c>
      <c r="H96" s="396">
        <v>0</v>
      </c>
      <c r="I96" s="396">
        <v>0</v>
      </c>
      <c r="J96" s="381">
        <v>20190816</v>
      </c>
      <c r="K96" s="381">
        <v>20190915</v>
      </c>
      <c r="L96" s="381" t="s">
        <v>1863</v>
      </c>
      <c r="M96" s="381">
        <v>5860.46</v>
      </c>
    </row>
    <row r="97" spans="2:13" x14ac:dyDescent="0.25">
      <c r="B97" s="381" t="s">
        <v>305</v>
      </c>
      <c r="C97" s="381" t="s">
        <v>913</v>
      </c>
      <c r="D97" s="381" t="s">
        <v>1897</v>
      </c>
      <c r="E97" s="381" t="s">
        <v>1898</v>
      </c>
      <c r="F97" s="381" t="s">
        <v>1899</v>
      </c>
      <c r="G97" s="399">
        <v>266</v>
      </c>
      <c r="H97" s="396">
        <v>0</v>
      </c>
      <c r="I97" s="396">
        <v>0</v>
      </c>
      <c r="J97" s="381">
        <v>20190816</v>
      </c>
      <c r="K97" s="381">
        <v>20190915</v>
      </c>
      <c r="L97" s="381" t="s">
        <v>1863</v>
      </c>
      <c r="M97" s="381">
        <v>5860.46</v>
      </c>
    </row>
    <row r="98" spans="2:13" x14ac:dyDescent="0.25">
      <c r="B98" s="381" t="s">
        <v>305</v>
      </c>
      <c r="C98" s="381" t="s">
        <v>913</v>
      </c>
      <c r="D98" s="381" t="s">
        <v>1900</v>
      </c>
      <c r="E98" s="381" t="s">
        <v>1901</v>
      </c>
      <c r="F98" s="381" t="s">
        <v>1902</v>
      </c>
      <c r="G98" s="396">
        <v>267</v>
      </c>
      <c r="H98" s="396">
        <v>0</v>
      </c>
      <c r="I98" s="396">
        <v>0</v>
      </c>
      <c r="J98" s="381">
        <v>20190816</v>
      </c>
      <c r="K98" s="381">
        <v>20190915</v>
      </c>
      <c r="L98" s="381" t="s">
        <v>1863</v>
      </c>
      <c r="M98" s="381">
        <v>5860.46</v>
      </c>
    </row>
    <row r="99" spans="2:13" x14ac:dyDescent="0.25">
      <c r="B99" s="381" t="s">
        <v>305</v>
      </c>
      <c r="C99" s="381" t="s">
        <v>913</v>
      </c>
      <c r="D99" s="381" t="s">
        <v>1903</v>
      </c>
      <c r="E99" s="381" t="s">
        <v>1904</v>
      </c>
      <c r="F99" s="381" t="s">
        <v>1905</v>
      </c>
      <c r="G99" s="399">
        <v>269</v>
      </c>
      <c r="H99" s="396">
        <v>0</v>
      </c>
      <c r="I99" s="396">
        <v>0</v>
      </c>
      <c r="J99" s="381">
        <v>20190816</v>
      </c>
      <c r="K99" s="381">
        <v>20190915</v>
      </c>
      <c r="L99" s="381" t="s">
        <v>1863</v>
      </c>
      <c r="M99" s="381">
        <v>5860.46</v>
      </c>
    </row>
    <row r="100" spans="2:13" x14ac:dyDescent="0.25">
      <c r="B100" s="381" t="s">
        <v>305</v>
      </c>
      <c r="C100" s="381" t="s">
        <v>913</v>
      </c>
      <c r="D100" s="381" t="s">
        <v>1906</v>
      </c>
      <c r="E100" s="381" t="s">
        <v>1907</v>
      </c>
      <c r="F100" s="381" t="s">
        <v>1908</v>
      </c>
      <c r="G100" s="396">
        <v>270</v>
      </c>
      <c r="H100" s="396">
        <v>0</v>
      </c>
      <c r="I100" s="396">
        <v>0</v>
      </c>
      <c r="J100" s="381">
        <v>20190816</v>
      </c>
      <c r="K100" s="381">
        <v>20190915</v>
      </c>
      <c r="L100" s="381" t="s">
        <v>1863</v>
      </c>
      <c r="M100" s="381">
        <v>5860.46</v>
      </c>
    </row>
    <row r="101" spans="2:13" x14ac:dyDescent="0.25">
      <c r="B101" s="381" t="s">
        <v>305</v>
      </c>
      <c r="C101" s="381" t="s">
        <v>913</v>
      </c>
      <c r="D101" s="381" t="s">
        <v>1909</v>
      </c>
      <c r="E101" s="381" t="s">
        <v>1910</v>
      </c>
      <c r="F101" s="381" t="s">
        <v>1911</v>
      </c>
      <c r="G101" s="399">
        <v>271</v>
      </c>
      <c r="H101" s="396">
        <v>0</v>
      </c>
      <c r="I101" s="396">
        <v>0</v>
      </c>
      <c r="J101" s="381">
        <v>20190816</v>
      </c>
      <c r="K101" s="381">
        <v>20190915</v>
      </c>
      <c r="L101" s="381" t="s">
        <v>1863</v>
      </c>
      <c r="M101" s="381">
        <v>5860.46</v>
      </c>
    </row>
    <row r="102" spans="2:13" x14ac:dyDescent="0.25">
      <c r="B102" s="381" t="s">
        <v>305</v>
      </c>
      <c r="C102" s="381" t="s">
        <v>913</v>
      </c>
      <c r="D102" s="381" t="s">
        <v>1912</v>
      </c>
      <c r="E102" s="381" t="s">
        <v>1913</v>
      </c>
      <c r="F102" s="381" t="s">
        <v>1914</v>
      </c>
      <c r="G102" s="396">
        <v>272</v>
      </c>
      <c r="H102" s="396">
        <v>0</v>
      </c>
      <c r="I102" s="396">
        <v>0</v>
      </c>
      <c r="J102" s="381">
        <v>20190816</v>
      </c>
      <c r="K102" s="381">
        <v>20190915</v>
      </c>
      <c r="L102" s="381" t="s">
        <v>1863</v>
      </c>
      <c r="M102" s="381">
        <v>5860.46</v>
      </c>
    </row>
    <row r="103" spans="2:13" x14ac:dyDescent="0.25">
      <c r="B103" s="381" t="s">
        <v>305</v>
      </c>
      <c r="C103" s="381" t="s">
        <v>913</v>
      </c>
      <c r="D103" s="381" t="s">
        <v>1915</v>
      </c>
      <c r="E103" s="381" t="s">
        <v>1916</v>
      </c>
      <c r="F103" s="381" t="s">
        <v>1917</v>
      </c>
      <c r="G103" s="399">
        <v>273</v>
      </c>
      <c r="H103" s="396">
        <v>0</v>
      </c>
      <c r="I103" s="396">
        <v>0</v>
      </c>
      <c r="J103" s="381">
        <v>20190816</v>
      </c>
      <c r="K103" s="381">
        <v>20190915</v>
      </c>
      <c r="L103" s="381" t="s">
        <v>1863</v>
      </c>
      <c r="M103" s="381">
        <v>5860.46</v>
      </c>
    </row>
    <row r="104" spans="2:13" x14ac:dyDescent="0.25">
      <c r="B104" s="381" t="s">
        <v>305</v>
      </c>
      <c r="C104" s="381" t="s">
        <v>913</v>
      </c>
      <c r="D104" s="381" t="s">
        <v>1918</v>
      </c>
      <c r="E104" s="381" t="s">
        <v>1919</v>
      </c>
      <c r="F104" s="381" t="s">
        <v>1920</v>
      </c>
      <c r="G104" s="396">
        <v>274</v>
      </c>
      <c r="H104" s="396">
        <v>0</v>
      </c>
      <c r="I104" s="396">
        <v>0</v>
      </c>
      <c r="J104" s="381">
        <v>20190816</v>
      </c>
      <c r="K104" s="381">
        <v>20190915</v>
      </c>
      <c r="L104" s="381" t="s">
        <v>1863</v>
      </c>
      <c r="M104" s="381">
        <v>5860.46</v>
      </c>
    </row>
    <row r="105" spans="2:13" x14ac:dyDescent="0.25">
      <c r="B105" s="381" t="s">
        <v>305</v>
      </c>
      <c r="C105" s="381" t="s">
        <v>913</v>
      </c>
      <c r="D105" s="381" t="s">
        <v>1668</v>
      </c>
      <c r="E105" s="381" t="s">
        <v>1669</v>
      </c>
      <c r="F105" s="381" t="s">
        <v>1670</v>
      </c>
      <c r="G105" s="396">
        <v>98</v>
      </c>
      <c r="H105" s="396">
        <v>0</v>
      </c>
      <c r="I105" s="396">
        <v>0</v>
      </c>
      <c r="J105" s="381">
        <v>20190916</v>
      </c>
      <c r="K105" s="381">
        <v>20190930</v>
      </c>
      <c r="L105" s="381" t="s">
        <v>1781</v>
      </c>
      <c r="M105" s="397">
        <v>5992.16</v>
      </c>
    </row>
    <row r="106" spans="2:13" x14ac:dyDescent="0.25">
      <c r="B106" s="381" t="s">
        <v>305</v>
      </c>
      <c r="C106" s="381" t="s">
        <v>913</v>
      </c>
      <c r="D106" s="381" t="s">
        <v>1600</v>
      </c>
      <c r="E106" s="381" t="s">
        <v>1782</v>
      </c>
      <c r="F106" s="381" t="s">
        <v>1783</v>
      </c>
      <c r="G106" s="396">
        <v>197</v>
      </c>
      <c r="H106" s="396">
        <v>0</v>
      </c>
      <c r="I106" s="396">
        <v>0</v>
      </c>
      <c r="J106" s="381">
        <v>20190916</v>
      </c>
      <c r="K106" s="381">
        <v>20190930</v>
      </c>
      <c r="L106" s="381" t="s">
        <v>1784</v>
      </c>
      <c r="M106" s="397">
        <v>5992.16</v>
      </c>
    </row>
    <row r="107" spans="2:13" x14ac:dyDescent="0.25">
      <c r="B107" s="381" t="s">
        <v>305</v>
      </c>
      <c r="C107" s="381" t="s">
        <v>913</v>
      </c>
      <c r="D107" s="381" t="s">
        <v>1791</v>
      </c>
      <c r="E107" s="381" t="s">
        <v>1792</v>
      </c>
      <c r="F107" s="381" t="s">
        <v>1794</v>
      </c>
      <c r="G107" s="396">
        <v>214</v>
      </c>
      <c r="H107" s="396">
        <v>0</v>
      </c>
      <c r="I107" s="396">
        <v>0</v>
      </c>
      <c r="J107" s="381">
        <v>20190916</v>
      </c>
      <c r="K107" s="381">
        <v>20190930</v>
      </c>
      <c r="L107" s="381" t="s">
        <v>1781</v>
      </c>
      <c r="M107" s="397">
        <v>9357.41</v>
      </c>
    </row>
    <row r="108" spans="2:13" x14ac:dyDescent="0.25">
      <c r="B108" s="381" t="s">
        <v>305</v>
      </c>
      <c r="C108" s="381" t="s">
        <v>913</v>
      </c>
      <c r="D108" s="398" t="s">
        <v>1718</v>
      </c>
      <c r="E108" s="398" t="s">
        <v>1719</v>
      </c>
      <c r="F108" s="381" t="s">
        <v>1720</v>
      </c>
      <c r="G108" s="396">
        <v>128</v>
      </c>
      <c r="H108" s="396">
        <v>0</v>
      </c>
      <c r="I108" s="396">
        <v>0</v>
      </c>
      <c r="J108" s="381">
        <v>20190916</v>
      </c>
      <c r="K108" s="381">
        <v>20190930</v>
      </c>
      <c r="L108" s="381" t="s">
        <v>1785</v>
      </c>
      <c r="M108" s="397">
        <v>5992.16</v>
      </c>
    </row>
    <row r="109" spans="2:13" x14ac:dyDescent="0.25">
      <c r="B109" s="381" t="s">
        <v>305</v>
      </c>
      <c r="C109" s="381" t="s">
        <v>913</v>
      </c>
      <c r="D109" s="381" t="s">
        <v>1795</v>
      </c>
      <c r="E109" s="381" t="s">
        <v>1796</v>
      </c>
      <c r="F109" s="381" t="s">
        <v>1797</v>
      </c>
      <c r="G109" s="396">
        <v>227</v>
      </c>
      <c r="H109" s="396">
        <v>0</v>
      </c>
      <c r="I109" s="396">
        <v>0</v>
      </c>
      <c r="J109" s="381">
        <v>20190916</v>
      </c>
      <c r="K109" s="381">
        <v>20190930</v>
      </c>
      <c r="L109" s="381" t="s">
        <v>1787</v>
      </c>
      <c r="M109" s="397">
        <v>5992.16</v>
      </c>
    </row>
    <row r="110" spans="2:13" x14ac:dyDescent="0.25">
      <c r="B110" s="381" t="s">
        <v>305</v>
      </c>
      <c r="C110" s="381" t="s">
        <v>913</v>
      </c>
      <c r="D110" s="381" t="s">
        <v>1530</v>
      </c>
      <c r="E110" s="381" t="s">
        <v>1674</v>
      </c>
      <c r="F110" s="381" t="s">
        <v>1675</v>
      </c>
      <c r="G110" s="396">
        <v>106</v>
      </c>
      <c r="H110" s="396">
        <v>0</v>
      </c>
      <c r="I110" s="396">
        <v>0</v>
      </c>
      <c r="J110" s="381">
        <v>20190916</v>
      </c>
      <c r="K110" s="381">
        <v>20190930</v>
      </c>
      <c r="L110" s="381" t="s">
        <v>1788</v>
      </c>
      <c r="M110" s="397">
        <v>2930.6</v>
      </c>
    </row>
    <row r="111" spans="2:13" x14ac:dyDescent="0.25">
      <c r="B111" s="381" t="s">
        <v>305</v>
      </c>
      <c r="C111" s="381" t="s">
        <v>913</v>
      </c>
      <c r="D111" s="381" t="s">
        <v>1679</v>
      </c>
      <c r="E111" s="381" t="s">
        <v>1680</v>
      </c>
      <c r="F111" s="381" t="s">
        <v>1681</v>
      </c>
      <c r="G111" s="396">
        <v>111</v>
      </c>
      <c r="H111" s="396">
        <v>0</v>
      </c>
      <c r="I111" s="396">
        <v>0</v>
      </c>
      <c r="J111" s="381">
        <v>20190916</v>
      </c>
      <c r="K111" s="381">
        <v>20190930</v>
      </c>
      <c r="L111" s="381" t="s">
        <v>1789</v>
      </c>
      <c r="M111" s="397">
        <v>3869.09</v>
      </c>
    </row>
    <row r="112" spans="2:13" x14ac:dyDescent="0.25">
      <c r="B112" s="381" t="s">
        <v>305</v>
      </c>
      <c r="C112" s="381" t="s">
        <v>913</v>
      </c>
      <c r="D112" s="381" t="s">
        <v>1684</v>
      </c>
      <c r="E112" s="381" t="s">
        <v>1685</v>
      </c>
      <c r="F112" s="381" t="s">
        <v>1686</v>
      </c>
      <c r="G112" s="399">
        <v>115</v>
      </c>
      <c r="H112" s="396">
        <v>0</v>
      </c>
      <c r="I112" s="396">
        <v>0</v>
      </c>
      <c r="J112" s="381">
        <v>20190916</v>
      </c>
      <c r="K112" s="381">
        <v>20190930</v>
      </c>
      <c r="L112" s="381" t="s">
        <v>1789</v>
      </c>
      <c r="M112" s="397">
        <v>3869.09</v>
      </c>
    </row>
    <row r="113" spans="2:13" x14ac:dyDescent="0.25">
      <c r="B113" s="381" t="s">
        <v>305</v>
      </c>
      <c r="C113" s="381" t="s">
        <v>913</v>
      </c>
      <c r="D113" s="381" t="s">
        <v>1687</v>
      </c>
      <c r="E113" s="381" t="s">
        <v>1688</v>
      </c>
      <c r="F113" s="381" t="s">
        <v>1689</v>
      </c>
      <c r="G113" s="396">
        <v>116</v>
      </c>
      <c r="H113" s="396">
        <v>0</v>
      </c>
      <c r="I113" s="396">
        <v>0</v>
      </c>
      <c r="J113" s="381">
        <v>20190916</v>
      </c>
      <c r="K113" s="381">
        <v>20190930</v>
      </c>
      <c r="L113" s="381" t="s">
        <v>1790</v>
      </c>
      <c r="M113" s="397">
        <v>9357.41</v>
      </c>
    </row>
    <row r="114" spans="2:13" x14ac:dyDescent="0.25">
      <c r="B114" s="381" t="s">
        <v>305</v>
      </c>
      <c r="C114" s="381" t="s">
        <v>913</v>
      </c>
      <c r="D114" s="381" t="s">
        <v>1798</v>
      </c>
      <c r="E114" s="381" t="s">
        <v>1799</v>
      </c>
      <c r="F114" s="381" t="s">
        <v>1800</v>
      </c>
      <c r="G114" s="399">
        <v>232</v>
      </c>
      <c r="H114" s="396">
        <v>0</v>
      </c>
      <c r="I114" s="396">
        <v>0</v>
      </c>
      <c r="J114" s="381">
        <v>20190916</v>
      </c>
      <c r="K114" s="381">
        <v>20190930</v>
      </c>
      <c r="L114" s="381" t="s">
        <v>1801</v>
      </c>
      <c r="M114" s="400">
        <v>3005.09</v>
      </c>
    </row>
    <row r="115" spans="2:13" x14ac:dyDescent="0.25">
      <c r="B115" s="381" t="s">
        <v>305</v>
      </c>
      <c r="C115" s="381" t="s">
        <v>913</v>
      </c>
      <c r="D115" s="381" t="s">
        <v>1802</v>
      </c>
      <c r="E115" s="381" t="s">
        <v>1803</v>
      </c>
      <c r="F115" s="381" t="s">
        <v>1804</v>
      </c>
      <c r="G115" s="396">
        <v>235</v>
      </c>
      <c r="H115" s="396">
        <v>0</v>
      </c>
      <c r="I115" s="396">
        <v>0</v>
      </c>
      <c r="J115" s="381">
        <v>20190916</v>
      </c>
      <c r="K115" s="381">
        <v>20190930</v>
      </c>
      <c r="L115" s="381" t="s">
        <v>1805</v>
      </c>
      <c r="M115" s="381">
        <v>4144.8599999999997</v>
      </c>
    </row>
    <row r="116" spans="2:13" x14ac:dyDescent="0.25">
      <c r="B116" s="381" t="s">
        <v>305</v>
      </c>
      <c r="C116" s="381" t="s">
        <v>913</v>
      </c>
      <c r="D116" s="381" t="s">
        <v>1806</v>
      </c>
      <c r="E116" s="381" t="s">
        <v>1807</v>
      </c>
      <c r="F116" s="381" t="s">
        <v>1808</v>
      </c>
      <c r="G116" s="399">
        <v>236</v>
      </c>
      <c r="H116" s="396">
        <v>0</v>
      </c>
      <c r="I116" s="396">
        <v>0</v>
      </c>
      <c r="J116" s="381">
        <v>20190916</v>
      </c>
      <c r="K116" s="381">
        <v>20190930</v>
      </c>
      <c r="L116" s="381" t="s">
        <v>1805</v>
      </c>
      <c r="M116" s="381">
        <v>4144.8599999999997</v>
      </c>
    </row>
    <row r="117" spans="2:13" x14ac:dyDescent="0.25">
      <c r="B117" s="381" t="s">
        <v>305</v>
      </c>
      <c r="C117" s="381" t="s">
        <v>913</v>
      </c>
      <c r="D117" s="381" t="s">
        <v>1809</v>
      </c>
      <c r="E117" s="381" t="s">
        <v>1810</v>
      </c>
      <c r="F117" s="381" t="s">
        <v>1811</v>
      </c>
      <c r="G117" s="396">
        <v>237</v>
      </c>
      <c r="H117" s="396">
        <v>0</v>
      </c>
      <c r="I117" s="396">
        <v>0</v>
      </c>
      <c r="J117" s="381">
        <v>20190916</v>
      </c>
      <c r="K117" s="381">
        <v>20190930</v>
      </c>
      <c r="L117" s="381" t="s">
        <v>1805</v>
      </c>
      <c r="M117" s="381">
        <v>4144.8599999999997</v>
      </c>
    </row>
    <row r="118" spans="2:13" x14ac:dyDescent="0.25">
      <c r="B118" s="381" t="s">
        <v>305</v>
      </c>
      <c r="C118" s="381" t="s">
        <v>913</v>
      </c>
      <c r="D118" s="381" t="s">
        <v>1815</v>
      </c>
      <c r="E118" s="381" t="s">
        <v>1816</v>
      </c>
      <c r="F118" s="381" t="s">
        <v>1817</v>
      </c>
      <c r="G118" s="396">
        <v>239</v>
      </c>
      <c r="H118" s="396">
        <v>0</v>
      </c>
      <c r="I118" s="396">
        <v>0</v>
      </c>
      <c r="J118" s="381">
        <v>20190916</v>
      </c>
      <c r="K118" s="381">
        <v>20190930</v>
      </c>
      <c r="L118" s="381" t="s">
        <v>1805</v>
      </c>
      <c r="M118" s="381">
        <v>4144.8599999999997</v>
      </c>
    </row>
    <row r="119" spans="2:13" x14ac:dyDescent="0.25">
      <c r="B119" s="381" t="s">
        <v>305</v>
      </c>
      <c r="C119" s="381" t="s">
        <v>913</v>
      </c>
      <c r="D119" s="381" t="s">
        <v>1818</v>
      </c>
      <c r="E119" s="381" t="s">
        <v>1819</v>
      </c>
      <c r="F119" s="381" t="s">
        <v>1820</v>
      </c>
      <c r="G119" s="399">
        <v>240</v>
      </c>
      <c r="H119" s="396">
        <v>0</v>
      </c>
      <c r="I119" s="396">
        <v>0</v>
      </c>
      <c r="J119" s="381">
        <v>20190916</v>
      </c>
      <c r="K119" s="381">
        <v>20190930</v>
      </c>
      <c r="L119" s="381" t="s">
        <v>1805</v>
      </c>
      <c r="M119" s="381">
        <v>4144.8599999999997</v>
      </c>
    </row>
    <row r="120" spans="2:13" x14ac:dyDescent="0.25">
      <c r="B120" s="381" t="s">
        <v>305</v>
      </c>
      <c r="C120" s="381" t="s">
        <v>913</v>
      </c>
      <c r="D120" s="381" t="s">
        <v>1821</v>
      </c>
      <c r="E120" s="381" t="s">
        <v>1822</v>
      </c>
      <c r="F120" s="381" t="s">
        <v>1823</v>
      </c>
      <c r="G120" s="396">
        <v>241</v>
      </c>
      <c r="H120" s="396">
        <v>0</v>
      </c>
      <c r="I120" s="396">
        <v>0</v>
      </c>
      <c r="J120" s="381">
        <v>20190916</v>
      </c>
      <c r="K120" s="381">
        <v>20190930</v>
      </c>
      <c r="L120" s="381" t="s">
        <v>1805</v>
      </c>
      <c r="M120" s="381">
        <v>4144.8599999999997</v>
      </c>
    </row>
    <row r="121" spans="2:13" x14ac:dyDescent="0.25">
      <c r="B121" s="381" t="s">
        <v>305</v>
      </c>
      <c r="C121" s="381" t="s">
        <v>913</v>
      </c>
      <c r="D121" s="381" t="s">
        <v>1824</v>
      </c>
      <c r="E121" s="381" t="s">
        <v>1825</v>
      </c>
      <c r="F121" s="381" t="s">
        <v>1826</v>
      </c>
      <c r="G121" s="399">
        <v>242</v>
      </c>
      <c r="H121" s="396">
        <v>0</v>
      </c>
      <c r="I121" s="396">
        <v>0</v>
      </c>
      <c r="J121" s="381">
        <v>20190916</v>
      </c>
      <c r="K121" s="381">
        <v>20190930</v>
      </c>
      <c r="L121" s="381" t="s">
        <v>1805</v>
      </c>
      <c r="M121" s="381">
        <v>4144.8599999999997</v>
      </c>
    </row>
    <row r="122" spans="2:13" x14ac:dyDescent="0.25">
      <c r="B122" s="381" t="s">
        <v>305</v>
      </c>
      <c r="C122" s="381" t="s">
        <v>913</v>
      </c>
      <c r="D122" s="381" t="s">
        <v>1830</v>
      </c>
      <c r="E122" s="381" t="s">
        <v>1831</v>
      </c>
      <c r="F122" s="381" t="s">
        <v>1832</v>
      </c>
      <c r="G122" s="399">
        <v>244</v>
      </c>
      <c r="H122" s="396">
        <v>0</v>
      </c>
      <c r="I122" s="396">
        <v>0</v>
      </c>
      <c r="J122" s="381">
        <v>20190916</v>
      </c>
      <c r="K122" s="381">
        <v>20190930</v>
      </c>
      <c r="L122" s="381" t="s">
        <v>1805</v>
      </c>
      <c r="M122" s="381">
        <v>4144.8599999999997</v>
      </c>
    </row>
    <row r="123" spans="2:13" x14ac:dyDescent="0.25">
      <c r="B123" s="381" t="s">
        <v>305</v>
      </c>
      <c r="C123" s="381" t="s">
        <v>913</v>
      </c>
      <c r="D123" s="381" t="s">
        <v>1833</v>
      </c>
      <c r="E123" s="381" t="s">
        <v>1834</v>
      </c>
      <c r="F123" s="381" t="s">
        <v>1835</v>
      </c>
      <c r="G123" s="396">
        <v>245</v>
      </c>
      <c r="H123" s="396">
        <v>0</v>
      </c>
      <c r="I123" s="396">
        <v>0</v>
      </c>
      <c r="J123" s="381">
        <v>20190916</v>
      </c>
      <c r="K123" s="381">
        <v>20190930</v>
      </c>
      <c r="L123" s="381" t="s">
        <v>1805</v>
      </c>
      <c r="M123" s="381">
        <v>4144.8599999999997</v>
      </c>
    </row>
    <row r="124" spans="2:13" x14ac:dyDescent="0.25">
      <c r="B124" s="381" t="s">
        <v>305</v>
      </c>
      <c r="C124" s="381" t="s">
        <v>913</v>
      </c>
      <c r="D124" s="381" t="s">
        <v>1836</v>
      </c>
      <c r="E124" s="381" t="s">
        <v>1837</v>
      </c>
      <c r="F124" s="381" t="s">
        <v>1838</v>
      </c>
      <c r="G124" s="399">
        <v>246</v>
      </c>
      <c r="H124" s="396">
        <v>0</v>
      </c>
      <c r="I124" s="396">
        <v>0</v>
      </c>
      <c r="J124" s="381">
        <v>20190916</v>
      </c>
      <c r="K124" s="381">
        <v>20190930</v>
      </c>
      <c r="L124" s="381" t="s">
        <v>1805</v>
      </c>
      <c r="M124" s="381">
        <v>4144.8599999999997</v>
      </c>
    </row>
    <row r="125" spans="2:13" x14ac:dyDescent="0.25">
      <c r="B125" s="381" t="s">
        <v>305</v>
      </c>
      <c r="C125" s="381" t="s">
        <v>913</v>
      </c>
      <c r="D125" s="381" t="s">
        <v>1839</v>
      </c>
      <c r="E125" s="381" t="s">
        <v>1840</v>
      </c>
      <c r="F125" s="381" t="s">
        <v>1841</v>
      </c>
      <c r="G125" s="396">
        <v>247</v>
      </c>
      <c r="H125" s="396">
        <v>0</v>
      </c>
      <c r="I125" s="396">
        <v>0</v>
      </c>
      <c r="J125" s="381">
        <v>20190916</v>
      </c>
      <c r="K125" s="381">
        <v>20190930</v>
      </c>
      <c r="L125" s="381" t="s">
        <v>1805</v>
      </c>
      <c r="M125" s="381">
        <v>4144.8599999999997</v>
      </c>
    </row>
    <row r="126" spans="2:13" x14ac:dyDescent="0.25">
      <c r="B126" s="381" t="s">
        <v>305</v>
      </c>
      <c r="C126" s="381" t="s">
        <v>913</v>
      </c>
      <c r="D126" s="381" t="s">
        <v>1842</v>
      </c>
      <c r="E126" s="381" t="s">
        <v>1843</v>
      </c>
      <c r="F126" s="381" t="s">
        <v>1844</v>
      </c>
      <c r="G126" s="399">
        <v>248</v>
      </c>
      <c r="H126" s="396">
        <v>0</v>
      </c>
      <c r="I126" s="396">
        <v>0</v>
      </c>
      <c r="J126" s="381">
        <v>20190916</v>
      </c>
      <c r="K126" s="381">
        <v>20190930</v>
      </c>
      <c r="L126" s="381" t="s">
        <v>1805</v>
      </c>
      <c r="M126" s="381">
        <v>4144.8599999999997</v>
      </c>
    </row>
    <row r="127" spans="2:13" x14ac:dyDescent="0.25">
      <c r="B127" s="381" t="s">
        <v>305</v>
      </c>
      <c r="C127" s="381" t="s">
        <v>913</v>
      </c>
      <c r="D127" s="381" t="s">
        <v>1845</v>
      </c>
      <c r="E127" s="381" t="s">
        <v>1846</v>
      </c>
      <c r="F127" s="381" t="s">
        <v>1847</v>
      </c>
      <c r="G127" s="396">
        <v>249</v>
      </c>
      <c r="H127" s="396">
        <v>0</v>
      </c>
      <c r="I127" s="396">
        <v>0</v>
      </c>
      <c r="J127" s="381">
        <v>20190916</v>
      </c>
      <c r="K127" s="381">
        <v>20190930</v>
      </c>
      <c r="L127" s="381" t="s">
        <v>1805</v>
      </c>
      <c r="M127" s="381">
        <v>4144.8599999999997</v>
      </c>
    </row>
    <row r="128" spans="2:13" x14ac:dyDescent="0.25">
      <c r="B128" s="381" t="s">
        <v>305</v>
      </c>
      <c r="C128" s="381" t="s">
        <v>913</v>
      </c>
      <c r="D128" s="381" t="s">
        <v>1848</v>
      </c>
      <c r="E128" s="381" t="s">
        <v>1849</v>
      </c>
      <c r="F128" s="381" t="s">
        <v>1850</v>
      </c>
      <c r="G128" s="399">
        <v>250</v>
      </c>
      <c r="H128" s="396">
        <v>0</v>
      </c>
      <c r="I128" s="396">
        <v>0</v>
      </c>
      <c r="J128" s="381">
        <v>20190916</v>
      </c>
      <c r="K128" s="381">
        <v>20190930</v>
      </c>
      <c r="L128" s="381" t="s">
        <v>1805</v>
      </c>
      <c r="M128" s="381">
        <v>4144.8599999999997</v>
      </c>
    </row>
    <row r="129" spans="2:13" x14ac:dyDescent="0.25">
      <c r="B129" s="381" t="s">
        <v>305</v>
      </c>
      <c r="C129" s="381" t="s">
        <v>913</v>
      </c>
      <c r="D129" s="381" t="s">
        <v>1851</v>
      </c>
      <c r="E129" s="381" t="s">
        <v>1852</v>
      </c>
      <c r="F129" s="381" t="s">
        <v>1853</v>
      </c>
      <c r="G129" s="396">
        <v>251</v>
      </c>
      <c r="H129" s="396">
        <v>0</v>
      </c>
      <c r="I129" s="396">
        <v>0</v>
      </c>
      <c r="J129" s="381">
        <v>20190916</v>
      </c>
      <c r="K129" s="381">
        <v>20190930</v>
      </c>
      <c r="L129" s="381" t="s">
        <v>1805</v>
      </c>
      <c r="M129" s="381">
        <v>4144.8599999999997</v>
      </c>
    </row>
    <row r="130" spans="2:13" x14ac:dyDescent="0.25">
      <c r="B130" s="381" t="s">
        <v>305</v>
      </c>
      <c r="C130" s="381" t="s">
        <v>913</v>
      </c>
      <c r="D130" s="381" t="s">
        <v>1854</v>
      </c>
      <c r="E130" s="381" t="s">
        <v>1855</v>
      </c>
      <c r="F130" s="381" t="s">
        <v>1856</v>
      </c>
      <c r="G130" s="399">
        <v>252</v>
      </c>
      <c r="H130" s="396">
        <v>0</v>
      </c>
      <c r="I130" s="396">
        <v>0</v>
      </c>
      <c r="J130" s="381">
        <v>20190916</v>
      </c>
      <c r="K130" s="381">
        <v>20190930</v>
      </c>
      <c r="L130" s="381" t="s">
        <v>1805</v>
      </c>
      <c r="M130" s="381">
        <v>4144.8599999999997</v>
      </c>
    </row>
    <row r="131" spans="2:13" x14ac:dyDescent="0.25">
      <c r="B131" s="381" t="s">
        <v>305</v>
      </c>
      <c r="C131" s="381" t="s">
        <v>913</v>
      </c>
      <c r="D131" s="381" t="s">
        <v>1857</v>
      </c>
      <c r="E131" s="381" t="s">
        <v>1858</v>
      </c>
      <c r="F131" s="381" t="s">
        <v>1859</v>
      </c>
      <c r="G131" s="396">
        <v>253</v>
      </c>
      <c r="H131" s="396">
        <v>0</v>
      </c>
      <c r="I131" s="396">
        <v>0</v>
      </c>
      <c r="J131" s="381">
        <v>20190916</v>
      </c>
      <c r="K131" s="381">
        <v>20190930</v>
      </c>
      <c r="L131" s="381" t="s">
        <v>1805</v>
      </c>
      <c r="M131" s="381">
        <v>4144.8599999999997</v>
      </c>
    </row>
    <row r="132" spans="2:13" x14ac:dyDescent="0.25">
      <c r="B132" s="381" t="s">
        <v>305</v>
      </c>
      <c r="C132" s="381" t="s">
        <v>913</v>
      </c>
      <c r="D132" s="381" t="s">
        <v>1860</v>
      </c>
      <c r="E132" s="381" t="s">
        <v>1861</v>
      </c>
      <c r="F132" s="381" t="s">
        <v>1862</v>
      </c>
      <c r="G132" s="399">
        <v>254</v>
      </c>
      <c r="H132" s="396">
        <v>0</v>
      </c>
      <c r="I132" s="396">
        <v>0</v>
      </c>
      <c r="J132" s="381">
        <v>20190916</v>
      </c>
      <c r="K132" s="381">
        <v>20190930</v>
      </c>
      <c r="L132" s="381" t="s">
        <v>1863</v>
      </c>
      <c r="M132" s="381">
        <v>2930.23</v>
      </c>
    </row>
    <row r="133" spans="2:13" x14ac:dyDescent="0.25">
      <c r="B133" s="381" t="s">
        <v>305</v>
      </c>
      <c r="C133" s="381" t="s">
        <v>913</v>
      </c>
      <c r="D133" s="381" t="s">
        <v>1864</v>
      </c>
      <c r="E133" s="381" t="s">
        <v>1865</v>
      </c>
      <c r="F133" s="381" t="s">
        <v>1866</v>
      </c>
      <c r="G133" s="396">
        <v>255</v>
      </c>
      <c r="H133" s="396">
        <v>0</v>
      </c>
      <c r="I133" s="396">
        <v>0</v>
      </c>
      <c r="J133" s="381">
        <v>20190916</v>
      </c>
      <c r="K133" s="381">
        <v>20190930</v>
      </c>
      <c r="L133" s="381" t="s">
        <v>1863</v>
      </c>
      <c r="M133" s="381">
        <v>2930.23</v>
      </c>
    </row>
    <row r="134" spans="2:13" x14ac:dyDescent="0.25">
      <c r="B134" s="381" t="s">
        <v>305</v>
      </c>
      <c r="C134" s="381" t="s">
        <v>913</v>
      </c>
      <c r="D134" s="381" t="s">
        <v>1867</v>
      </c>
      <c r="E134" s="381" t="s">
        <v>1868</v>
      </c>
      <c r="F134" s="381" t="s">
        <v>1869</v>
      </c>
      <c r="G134" s="399">
        <v>256</v>
      </c>
      <c r="H134" s="396">
        <v>0</v>
      </c>
      <c r="I134" s="396">
        <v>0</v>
      </c>
      <c r="J134" s="381">
        <v>20190916</v>
      </c>
      <c r="K134" s="381">
        <v>20190930</v>
      </c>
      <c r="L134" s="381" t="s">
        <v>1863</v>
      </c>
      <c r="M134" s="381">
        <v>2930.23</v>
      </c>
    </row>
    <row r="135" spans="2:13" x14ac:dyDescent="0.25">
      <c r="B135" s="381" t="s">
        <v>305</v>
      </c>
      <c r="C135" s="381" t="s">
        <v>913</v>
      </c>
      <c r="D135" s="381" t="s">
        <v>1921</v>
      </c>
      <c r="E135" s="381" t="s">
        <v>1922</v>
      </c>
      <c r="F135" s="381" t="s">
        <v>1923</v>
      </c>
      <c r="G135" s="399">
        <v>275</v>
      </c>
      <c r="H135" s="396">
        <v>0</v>
      </c>
      <c r="I135" s="396">
        <v>0</v>
      </c>
      <c r="J135" s="381">
        <v>20190917</v>
      </c>
      <c r="K135" s="381">
        <v>20190930</v>
      </c>
      <c r="L135" s="381" t="s">
        <v>1863</v>
      </c>
      <c r="M135" s="381">
        <v>2539.5300000000002</v>
      </c>
    </row>
    <row r="136" spans="2:13" x14ac:dyDescent="0.25">
      <c r="B136" s="381" t="s">
        <v>305</v>
      </c>
      <c r="C136" s="381" t="s">
        <v>913</v>
      </c>
      <c r="D136" s="381" t="s">
        <v>1870</v>
      </c>
      <c r="E136" s="381" t="s">
        <v>1871</v>
      </c>
      <c r="F136" s="381" t="s">
        <v>1872</v>
      </c>
      <c r="G136" s="396">
        <v>257</v>
      </c>
      <c r="H136" s="396">
        <v>0</v>
      </c>
      <c r="I136" s="396">
        <v>0</v>
      </c>
      <c r="J136" s="381">
        <v>20190916</v>
      </c>
      <c r="K136" s="381">
        <v>20190930</v>
      </c>
      <c r="L136" s="381" t="s">
        <v>1863</v>
      </c>
      <c r="M136" s="381">
        <v>2930.23</v>
      </c>
    </row>
    <row r="137" spans="2:13" x14ac:dyDescent="0.25">
      <c r="B137" s="381" t="s">
        <v>305</v>
      </c>
      <c r="C137" s="381" t="s">
        <v>913</v>
      </c>
      <c r="D137" s="381" t="s">
        <v>1924</v>
      </c>
      <c r="E137" s="381" t="s">
        <v>1925</v>
      </c>
      <c r="F137" s="381" t="s">
        <v>1926</v>
      </c>
      <c r="G137" s="396">
        <v>279</v>
      </c>
      <c r="H137" s="396">
        <v>0</v>
      </c>
      <c r="I137" s="396">
        <v>0</v>
      </c>
      <c r="J137" s="381">
        <v>20190917</v>
      </c>
      <c r="K137" s="381">
        <v>20190930</v>
      </c>
      <c r="L137" s="381" t="s">
        <v>1863</v>
      </c>
      <c r="M137" s="381">
        <v>2539.5300000000002</v>
      </c>
    </row>
    <row r="138" spans="2:13" x14ac:dyDescent="0.25">
      <c r="B138" s="381" t="s">
        <v>305</v>
      </c>
      <c r="C138" s="381" t="s">
        <v>913</v>
      </c>
      <c r="D138" s="381" t="s">
        <v>1873</v>
      </c>
      <c r="E138" s="381" t="s">
        <v>1874</v>
      </c>
      <c r="F138" s="381" t="s">
        <v>1875</v>
      </c>
      <c r="G138" s="399">
        <v>258</v>
      </c>
      <c r="H138" s="396">
        <v>0</v>
      </c>
      <c r="I138" s="396">
        <v>0</v>
      </c>
      <c r="J138" s="381">
        <v>20190916</v>
      </c>
      <c r="K138" s="381">
        <v>20190930</v>
      </c>
      <c r="L138" s="381" t="s">
        <v>1863</v>
      </c>
      <c r="M138" s="381">
        <v>2930.23</v>
      </c>
    </row>
    <row r="139" spans="2:13" x14ac:dyDescent="0.25">
      <c r="B139" s="381" t="s">
        <v>305</v>
      </c>
      <c r="C139" s="381" t="s">
        <v>913</v>
      </c>
      <c r="D139" s="381" t="s">
        <v>1876</v>
      </c>
      <c r="E139" s="381" t="s">
        <v>1877</v>
      </c>
      <c r="F139" s="381" t="s">
        <v>1878</v>
      </c>
      <c r="G139" s="396">
        <v>259</v>
      </c>
      <c r="H139" s="396">
        <v>0</v>
      </c>
      <c r="I139" s="396">
        <v>0</v>
      </c>
      <c r="J139" s="381">
        <v>20190916</v>
      </c>
      <c r="K139" s="381">
        <v>20190930</v>
      </c>
      <c r="L139" s="381" t="s">
        <v>1863</v>
      </c>
      <c r="M139" s="381">
        <v>2930.23</v>
      </c>
    </row>
    <row r="140" spans="2:13" x14ac:dyDescent="0.25">
      <c r="B140" s="381" t="s">
        <v>305</v>
      </c>
      <c r="C140" s="381" t="s">
        <v>913</v>
      </c>
      <c r="D140" s="381" t="s">
        <v>1879</v>
      </c>
      <c r="E140" s="381" t="s">
        <v>1880</v>
      </c>
      <c r="F140" s="381" t="s">
        <v>1881</v>
      </c>
      <c r="G140" s="399">
        <v>260</v>
      </c>
      <c r="H140" s="396">
        <v>0</v>
      </c>
      <c r="I140" s="396">
        <v>0</v>
      </c>
      <c r="J140" s="381">
        <v>20190916</v>
      </c>
      <c r="K140" s="381">
        <v>20190930</v>
      </c>
      <c r="L140" s="381" t="s">
        <v>1863</v>
      </c>
      <c r="M140" s="381">
        <v>2930.23</v>
      </c>
    </row>
    <row r="141" spans="2:13" x14ac:dyDescent="0.25">
      <c r="B141" s="381" t="s">
        <v>305</v>
      </c>
      <c r="C141" s="381" t="s">
        <v>913</v>
      </c>
      <c r="D141" s="381" t="s">
        <v>1882</v>
      </c>
      <c r="E141" s="381" t="s">
        <v>1883</v>
      </c>
      <c r="F141" s="381" t="s">
        <v>1884</v>
      </c>
      <c r="G141" s="396">
        <v>261</v>
      </c>
      <c r="H141" s="396">
        <v>0</v>
      </c>
      <c r="I141" s="396">
        <v>0</v>
      </c>
      <c r="J141" s="381">
        <v>20190916</v>
      </c>
      <c r="K141" s="381">
        <v>20190930</v>
      </c>
      <c r="L141" s="381" t="s">
        <v>1863</v>
      </c>
      <c r="M141" s="381">
        <v>2930.23</v>
      </c>
    </row>
    <row r="142" spans="2:13" x14ac:dyDescent="0.25">
      <c r="B142" s="381" t="s">
        <v>305</v>
      </c>
      <c r="C142" s="381" t="s">
        <v>913</v>
      </c>
      <c r="D142" s="381" t="s">
        <v>1888</v>
      </c>
      <c r="E142" s="381" t="s">
        <v>1889</v>
      </c>
      <c r="F142" s="381" t="s">
        <v>1890</v>
      </c>
      <c r="G142" s="396">
        <v>263</v>
      </c>
      <c r="H142" s="396">
        <v>0</v>
      </c>
      <c r="I142" s="396">
        <v>0</v>
      </c>
      <c r="J142" s="381">
        <v>20190916</v>
      </c>
      <c r="K142" s="381">
        <v>20190930</v>
      </c>
      <c r="L142" s="381" t="s">
        <v>1863</v>
      </c>
      <c r="M142" s="381">
        <v>2930.23</v>
      </c>
    </row>
    <row r="143" spans="2:13" x14ac:dyDescent="0.25">
      <c r="B143" s="381" t="s">
        <v>305</v>
      </c>
      <c r="C143" s="381" t="s">
        <v>913</v>
      </c>
      <c r="D143" s="381" t="s">
        <v>1891</v>
      </c>
      <c r="E143" s="381" t="s">
        <v>1892</v>
      </c>
      <c r="F143" s="381" t="s">
        <v>1893</v>
      </c>
      <c r="G143" s="399">
        <v>264</v>
      </c>
      <c r="H143" s="396">
        <v>0</v>
      </c>
      <c r="I143" s="396">
        <v>0</v>
      </c>
      <c r="J143" s="381">
        <v>20190916</v>
      </c>
      <c r="K143" s="381">
        <v>20190930</v>
      </c>
      <c r="L143" s="381" t="s">
        <v>1863</v>
      </c>
      <c r="M143" s="381">
        <v>2930.23</v>
      </c>
    </row>
    <row r="144" spans="2:13" x14ac:dyDescent="0.25">
      <c r="B144" s="381" t="s">
        <v>305</v>
      </c>
      <c r="C144" s="381" t="s">
        <v>913</v>
      </c>
      <c r="D144" s="381" t="s">
        <v>1894</v>
      </c>
      <c r="E144" s="381" t="s">
        <v>1895</v>
      </c>
      <c r="F144" s="381" t="s">
        <v>1896</v>
      </c>
      <c r="G144" s="396">
        <v>265</v>
      </c>
      <c r="H144" s="396">
        <v>0</v>
      </c>
      <c r="I144" s="396">
        <v>0</v>
      </c>
      <c r="J144" s="381">
        <v>20190916</v>
      </c>
      <c r="K144" s="381">
        <v>20190930</v>
      </c>
      <c r="L144" s="381" t="s">
        <v>1863</v>
      </c>
      <c r="M144" s="381">
        <v>2930.23</v>
      </c>
    </row>
    <row r="145" spans="2:13" x14ac:dyDescent="0.25">
      <c r="B145" s="381" t="s">
        <v>305</v>
      </c>
      <c r="C145" s="381" t="s">
        <v>913</v>
      </c>
      <c r="D145" s="381" t="s">
        <v>1897</v>
      </c>
      <c r="E145" s="381" t="s">
        <v>1898</v>
      </c>
      <c r="F145" s="381" t="s">
        <v>1899</v>
      </c>
      <c r="G145" s="399">
        <v>266</v>
      </c>
      <c r="H145" s="396">
        <v>0</v>
      </c>
      <c r="I145" s="396">
        <v>0</v>
      </c>
      <c r="J145" s="381">
        <v>20190916</v>
      </c>
      <c r="K145" s="381">
        <v>20190930</v>
      </c>
      <c r="L145" s="381" t="s">
        <v>1863</v>
      </c>
      <c r="M145" s="381">
        <v>2930.23</v>
      </c>
    </row>
    <row r="146" spans="2:13" x14ac:dyDescent="0.25">
      <c r="B146" s="381" t="s">
        <v>305</v>
      </c>
      <c r="C146" s="381" t="s">
        <v>913</v>
      </c>
      <c r="D146" s="381" t="s">
        <v>1900</v>
      </c>
      <c r="E146" s="381" t="s">
        <v>1901</v>
      </c>
      <c r="F146" s="381" t="s">
        <v>1902</v>
      </c>
      <c r="G146" s="396">
        <v>267</v>
      </c>
      <c r="H146" s="396">
        <v>0</v>
      </c>
      <c r="I146" s="396">
        <v>0</v>
      </c>
      <c r="J146" s="381">
        <v>20190916</v>
      </c>
      <c r="K146" s="381">
        <v>20190930</v>
      </c>
      <c r="L146" s="381" t="s">
        <v>1863</v>
      </c>
      <c r="M146" s="381">
        <v>2930.23</v>
      </c>
    </row>
    <row r="147" spans="2:13" x14ac:dyDescent="0.25">
      <c r="B147" s="381" t="s">
        <v>305</v>
      </c>
      <c r="C147" s="381" t="s">
        <v>913</v>
      </c>
      <c r="D147" s="381" t="s">
        <v>1903</v>
      </c>
      <c r="E147" s="381" t="s">
        <v>1904</v>
      </c>
      <c r="F147" s="381" t="s">
        <v>1905</v>
      </c>
      <c r="G147" s="399">
        <v>269</v>
      </c>
      <c r="H147" s="396">
        <v>0</v>
      </c>
      <c r="I147" s="396">
        <v>0</v>
      </c>
      <c r="J147" s="381">
        <v>20190916</v>
      </c>
      <c r="K147" s="381">
        <v>20190930</v>
      </c>
      <c r="L147" s="381" t="s">
        <v>1863</v>
      </c>
      <c r="M147" s="381">
        <v>2930.23</v>
      </c>
    </row>
    <row r="148" spans="2:13" x14ac:dyDescent="0.25">
      <c r="B148" s="381" t="s">
        <v>305</v>
      </c>
      <c r="C148" s="381" t="s">
        <v>913</v>
      </c>
      <c r="D148" s="381" t="s">
        <v>1906</v>
      </c>
      <c r="E148" s="381" t="s">
        <v>1907</v>
      </c>
      <c r="F148" s="381" t="s">
        <v>1908</v>
      </c>
      <c r="G148" s="396">
        <v>270</v>
      </c>
      <c r="H148" s="396">
        <v>0</v>
      </c>
      <c r="I148" s="396">
        <v>0</v>
      </c>
      <c r="J148" s="381">
        <v>20190916</v>
      </c>
      <c r="K148" s="381">
        <v>20190930</v>
      </c>
      <c r="L148" s="381" t="s">
        <v>1863</v>
      </c>
      <c r="M148" s="381">
        <v>2930.23</v>
      </c>
    </row>
    <row r="149" spans="2:13" x14ac:dyDescent="0.25">
      <c r="B149" s="381" t="s">
        <v>305</v>
      </c>
      <c r="C149" s="381" t="s">
        <v>913</v>
      </c>
      <c r="D149" s="381" t="s">
        <v>1909</v>
      </c>
      <c r="E149" s="381" t="s">
        <v>1910</v>
      </c>
      <c r="F149" s="381" t="s">
        <v>1911</v>
      </c>
      <c r="G149" s="399">
        <v>271</v>
      </c>
      <c r="H149" s="396">
        <v>0</v>
      </c>
      <c r="I149" s="396">
        <v>0</v>
      </c>
      <c r="J149" s="381">
        <v>20190916</v>
      </c>
      <c r="K149" s="381">
        <v>20190930</v>
      </c>
      <c r="L149" s="381" t="s">
        <v>1863</v>
      </c>
      <c r="M149" s="381">
        <v>2930.23</v>
      </c>
    </row>
    <row r="150" spans="2:13" x14ac:dyDescent="0.25">
      <c r="B150" s="381" t="s">
        <v>305</v>
      </c>
      <c r="C150" s="381" t="s">
        <v>913</v>
      </c>
      <c r="D150" s="381" t="s">
        <v>1912</v>
      </c>
      <c r="E150" s="381" t="s">
        <v>1913</v>
      </c>
      <c r="F150" s="381" t="s">
        <v>1927</v>
      </c>
      <c r="G150" s="396">
        <v>272</v>
      </c>
      <c r="H150" s="396">
        <v>0</v>
      </c>
      <c r="I150" s="396">
        <v>0</v>
      </c>
      <c r="J150" s="381">
        <v>20190916</v>
      </c>
      <c r="K150" s="381">
        <v>20190930</v>
      </c>
      <c r="L150" s="381" t="s">
        <v>1863</v>
      </c>
      <c r="M150" s="381">
        <v>2930.23</v>
      </c>
    </row>
    <row r="151" spans="2:13" x14ac:dyDescent="0.25">
      <c r="B151" s="381" t="s">
        <v>305</v>
      </c>
      <c r="C151" s="381" t="s">
        <v>913</v>
      </c>
      <c r="D151" s="381" t="s">
        <v>1915</v>
      </c>
      <c r="E151" s="381" t="s">
        <v>1916</v>
      </c>
      <c r="F151" s="381" t="s">
        <v>1917</v>
      </c>
      <c r="G151" s="399">
        <v>273</v>
      </c>
      <c r="H151" s="396">
        <v>0</v>
      </c>
      <c r="I151" s="396">
        <v>0</v>
      </c>
      <c r="J151" s="381">
        <v>20190916</v>
      </c>
      <c r="K151" s="381">
        <v>20190930</v>
      </c>
      <c r="L151" s="381" t="s">
        <v>1863</v>
      </c>
      <c r="M151" s="381">
        <v>2930.23</v>
      </c>
    </row>
    <row r="152" spans="2:13" x14ac:dyDescent="0.25">
      <c r="B152" s="381" t="s">
        <v>305</v>
      </c>
      <c r="C152" s="381" t="s">
        <v>913</v>
      </c>
      <c r="D152" s="381" t="s">
        <v>1918</v>
      </c>
      <c r="E152" s="381" t="s">
        <v>1919</v>
      </c>
      <c r="F152" s="381" t="s">
        <v>1920</v>
      </c>
      <c r="G152" s="396">
        <v>274</v>
      </c>
      <c r="H152" s="396">
        <v>0</v>
      </c>
      <c r="I152" s="396">
        <v>0</v>
      </c>
      <c r="J152" s="381">
        <v>20190916</v>
      </c>
      <c r="K152" s="381">
        <v>20190930</v>
      </c>
      <c r="L152" s="381" t="s">
        <v>1863</v>
      </c>
      <c r="M152" s="381">
        <v>2930.23</v>
      </c>
    </row>
    <row r="153" spans="2:13" x14ac:dyDescent="0.25">
      <c r="B153" s="381" t="s">
        <v>305</v>
      </c>
      <c r="C153" s="381" t="s">
        <v>913</v>
      </c>
      <c r="D153" s="381" t="s">
        <v>1928</v>
      </c>
      <c r="E153" s="381" t="s">
        <v>1929</v>
      </c>
      <c r="F153" s="381" t="s">
        <v>1930</v>
      </c>
      <c r="G153" s="399">
        <v>276</v>
      </c>
      <c r="H153" s="396">
        <v>0</v>
      </c>
      <c r="I153" s="396">
        <v>0</v>
      </c>
      <c r="J153" s="381">
        <v>20190917</v>
      </c>
      <c r="K153" s="381">
        <v>20190930</v>
      </c>
      <c r="L153" s="381" t="s">
        <v>1863</v>
      </c>
      <c r="M153" s="400">
        <v>2539.5300000000002</v>
      </c>
    </row>
    <row r="154" spans="2:13" x14ac:dyDescent="0.25">
      <c r="B154" s="381" t="s">
        <v>305</v>
      </c>
      <c r="C154" s="381" t="s">
        <v>913</v>
      </c>
      <c r="D154" s="381" t="s">
        <v>1931</v>
      </c>
      <c r="E154" s="381" t="s">
        <v>1932</v>
      </c>
      <c r="F154" s="381" t="s">
        <v>1933</v>
      </c>
      <c r="G154" s="399">
        <v>277</v>
      </c>
      <c r="H154" s="396">
        <v>0</v>
      </c>
      <c r="I154" s="396">
        <v>0</v>
      </c>
      <c r="J154" s="381">
        <v>20190917</v>
      </c>
      <c r="K154" s="381">
        <v>20190930</v>
      </c>
      <c r="L154" s="381" t="s">
        <v>1789</v>
      </c>
      <c r="M154" s="400">
        <v>3353.21</v>
      </c>
    </row>
    <row r="155" spans="2:13" x14ac:dyDescent="0.25">
      <c r="B155" s="381" t="s">
        <v>305</v>
      </c>
      <c r="C155" s="381" t="s">
        <v>913</v>
      </c>
      <c r="D155" s="381" t="s">
        <v>1934</v>
      </c>
      <c r="E155" s="381" t="s">
        <v>1935</v>
      </c>
      <c r="F155" s="381" t="s">
        <v>1936</v>
      </c>
      <c r="G155" s="399">
        <v>278</v>
      </c>
      <c r="H155" s="396">
        <v>0</v>
      </c>
      <c r="I155" s="396">
        <v>0</v>
      </c>
      <c r="J155" s="381">
        <v>20190902</v>
      </c>
      <c r="K155" s="381">
        <v>20190930</v>
      </c>
      <c r="L155" s="381" t="s">
        <v>1789</v>
      </c>
      <c r="M155" s="400">
        <v>7480.23</v>
      </c>
    </row>
    <row r="156" spans="2:13" x14ac:dyDescent="0.25">
      <c r="B156" s="111" t="s">
        <v>64</v>
      </c>
      <c r="C156" s="75"/>
      <c r="D156" s="392">
        <v>138</v>
      </c>
      <c r="E156" s="59"/>
      <c r="F156" s="59"/>
      <c r="G156" s="59"/>
      <c r="H156" s="59"/>
      <c r="I156" s="378"/>
      <c r="J156" s="378"/>
      <c r="K156" s="378"/>
      <c r="L156" s="390" t="s">
        <v>147</v>
      </c>
      <c r="M156" s="258">
        <f>SUM(Tabla14[Percepciones pagadas dentro del periodo reportado])</f>
        <v>747625.28999999922</v>
      </c>
    </row>
    <row r="157" spans="2:13" x14ac:dyDescent="0.25">
      <c r="B157" s="68"/>
      <c r="C157" s="69"/>
      <c r="D157" s="378"/>
      <c r="E157" s="69"/>
      <c r="F157" s="69"/>
      <c r="G157" s="69"/>
      <c r="H157" s="69"/>
      <c r="I157" s="378"/>
      <c r="J157" s="85" t="s">
        <v>169</v>
      </c>
      <c r="K157" s="378"/>
      <c r="L157" s="393"/>
      <c r="M157" s="67"/>
    </row>
    <row r="158" spans="2:13" x14ac:dyDescent="0.25">
      <c r="B158" s="70"/>
      <c r="C158" s="71"/>
      <c r="D158" s="71"/>
      <c r="E158" s="71"/>
      <c r="F158" s="71"/>
      <c r="G158" s="71"/>
      <c r="H158" s="71"/>
      <c r="I158" s="71"/>
      <c r="J158" s="71"/>
      <c r="K158" s="71"/>
      <c r="L158" s="71"/>
      <c r="M158" s="72"/>
    </row>
    <row r="159" spans="2:13" x14ac:dyDescent="0.25">
      <c r="B159" s="47" t="s">
        <v>152</v>
      </c>
      <c r="C159" s="48"/>
      <c r="D159" s="394"/>
      <c r="E159" s="395"/>
      <c r="F159" s="394"/>
      <c r="G159" s="394"/>
      <c r="H159" s="394"/>
      <c r="I159" s="394"/>
      <c r="J159" s="394"/>
      <c r="K159" s="394"/>
      <c r="L159" s="394"/>
      <c r="M159" s="394"/>
    </row>
    <row r="160" spans="2:13" x14ac:dyDescent="0.25">
      <c r="B160" s="48"/>
      <c r="C160" s="48"/>
      <c r="D160" s="394"/>
      <c r="E160" s="394"/>
      <c r="F160" s="394"/>
      <c r="G160" s="394"/>
      <c r="H160" s="394"/>
      <c r="I160" s="394"/>
      <c r="J160" s="394"/>
      <c r="K160" s="394"/>
      <c r="L160" s="394"/>
      <c r="M160" s="394"/>
    </row>
    <row r="161" spans="4:13" x14ac:dyDescent="0.25">
      <c r="D161" s="378"/>
      <c r="E161" s="378"/>
      <c r="F161" s="378"/>
      <c r="G161" s="378"/>
      <c r="H161" s="378"/>
      <c r="I161" s="378"/>
      <c r="J161" s="378"/>
      <c r="K161" s="378"/>
      <c r="L161" s="378"/>
      <c r="M161" s="378"/>
    </row>
    <row r="162" spans="4:13" x14ac:dyDescent="0.25">
      <c r="D162" s="378"/>
      <c r="E162" s="378"/>
      <c r="F162" s="378"/>
      <c r="G162" s="378"/>
      <c r="H162" s="378"/>
      <c r="I162" s="378"/>
      <c r="J162" s="378"/>
      <c r="K162" s="378"/>
      <c r="L162" s="378"/>
      <c r="M162" s="378"/>
    </row>
    <row r="163" spans="4:13" x14ac:dyDescent="0.25">
      <c r="D163" s="378"/>
      <c r="E163" s="378"/>
      <c r="F163" s="378"/>
      <c r="G163" s="378"/>
      <c r="H163" s="378"/>
      <c r="I163" s="378"/>
      <c r="J163" s="378"/>
      <c r="K163" s="378"/>
      <c r="L163" s="378"/>
      <c r="M163" s="378"/>
    </row>
    <row r="164" spans="4:13" x14ac:dyDescent="0.25">
      <c r="D164" s="378"/>
      <c r="E164" s="378"/>
      <c r="F164" s="378"/>
      <c r="G164" s="378"/>
      <c r="H164" s="378"/>
      <c r="I164" s="378"/>
      <c r="J164" s="378"/>
      <c r="K164" s="378"/>
      <c r="L164" s="378"/>
      <c r="M164" s="378"/>
    </row>
    <row r="165" spans="4:13" x14ac:dyDescent="0.25">
      <c r="D165" s="378"/>
      <c r="E165" s="378"/>
      <c r="F165" s="378"/>
      <c r="G165" s="378"/>
      <c r="H165" s="378"/>
      <c r="I165" s="378"/>
      <c r="J165" s="378"/>
      <c r="K165" s="378"/>
      <c r="L165" s="378"/>
      <c r="M165" s="378"/>
    </row>
    <row r="166" spans="4:13" x14ac:dyDescent="0.25">
      <c r="D166" s="378"/>
      <c r="E166" s="378"/>
      <c r="F166" s="378"/>
      <c r="G166" s="378"/>
      <c r="H166" s="378"/>
      <c r="I166" s="378"/>
      <c r="J166" s="378"/>
      <c r="K166" s="378"/>
      <c r="L166" s="378"/>
      <c r="M166" s="378"/>
    </row>
    <row r="167" spans="4:13" x14ac:dyDescent="0.25">
      <c r="D167" s="378"/>
      <c r="E167" s="378"/>
      <c r="F167" s="378"/>
      <c r="G167" s="378"/>
      <c r="H167" s="378"/>
      <c r="I167" s="378"/>
      <c r="J167" s="378"/>
      <c r="K167" s="378"/>
      <c r="L167" s="378"/>
      <c r="M167" s="378"/>
    </row>
    <row r="168" spans="4:13" x14ac:dyDescent="0.25">
      <c r="D168" s="378"/>
      <c r="E168" s="378"/>
      <c r="F168" s="378"/>
      <c r="G168" s="378"/>
      <c r="H168" s="378"/>
      <c r="I168" s="378"/>
      <c r="J168" s="378"/>
      <c r="K168" s="378"/>
      <c r="L168" s="378"/>
      <c r="M168" s="378"/>
    </row>
    <row r="169" spans="4:13" x14ac:dyDescent="0.25">
      <c r="D169" s="378"/>
      <c r="E169" s="378"/>
      <c r="F169" s="378"/>
      <c r="G169" s="378"/>
      <c r="H169" s="378"/>
      <c r="I169" s="378"/>
      <c r="J169" s="378"/>
      <c r="K169" s="378"/>
      <c r="L169" s="378"/>
      <c r="M169" s="378"/>
    </row>
    <row r="170" spans="4:13" x14ac:dyDescent="0.25">
      <c r="D170" s="378"/>
      <c r="E170" s="378"/>
      <c r="F170" s="378"/>
      <c r="G170" s="378"/>
      <c r="H170" s="378"/>
      <c r="I170" s="378"/>
      <c r="J170" s="378"/>
      <c r="K170" s="378"/>
      <c r="L170" s="378"/>
      <c r="M170" s="378"/>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dataValidations>
  <printOptions horizontalCentered="1"/>
  <pageMargins left="0.23622047244094491" right="0.23622047244094491" top="0.15748031496062992" bottom="1.3779527559055118"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38"/>
  <sheetViews>
    <sheetView showGridLines="0" view="pageLayout" zoomScaleNormal="100" workbookViewId="0">
      <selection activeCell="F79" sqref="F79"/>
    </sheetView>
  </sheetViews>
  <sheetFormatPr baseColWidth="10" defaultRowHeight="15" x14ac:dyDescent="0.25"/>
  <cols>
    <col min="1" max="1" width="3.7109375" customWidth="1"/>
    <col min="2" max="2" width="11.28515625" customWidth="1"/>
    <col min="3" max="3" width="12.140625" customWidth="1"/>
    <col min="4" max="4" width="11.5703125" customWidth="1"/>
    <col min="5" max="5" width="32.7109375" customWidth="1"/>
    <col min="6" max="6" width="19.140625" customWidth="1"/>
    <col min="7" max="7" width="14.7109375" customWidth="1"/>
    <col min="8" max="9" width="10.42578125" customWidth="1"/>
    <col min="10" max="10" width="56.28515625" bestFit="1" customWidth="1"/>
    <col min="11" max="13" width="12.85546875" customWidth="1"/>
    <col min="14" max="16" width="20.7109375" customWidth="1"/>
    <col min="17" max="18" width="14.140625" customWidth="1"/>
    <col min="19" max="19" width="20.7109375" customWidth="1"/>
    <col min="253" max="253" width="3.7109375" customWidth="1"/>
  </cols>
  <sheetData>
    <row r="1" spans="2:19" ht="15" customHeight="1" x14ac:dyDescent="0.25">
      <c r="P1" s="364"/>
      <c r="R1" t="s">
        <v>1519</v>
      </c>
    </row>
    <row r="2" spans="2:19" ht="15" customHeight="1" x14ac:dyDescent="0.25">
      <c r="P2" s="364"/>
    </row>
    <row r="3" spans="2:19" ht="15" customHeight="1" x14ac:dyDescent="0.25">
      <c r="P3" s="364"/>
    </row>
    <row r="4" spans="2:19" ht="15" customHeight="1" x14ac:dyDescent="0.25">
      <c r="P4" s="364"/>
    </row>
    <row r="5" spans="2:19" ht="15" customHeight="1" x14ac:dyDescent="0.25">
      <c r="P5" s="364"/>
    </row>
    <row r="6" spans="2:19" ht="15" customHeight="1" x14ac:dyDescent="0.25">
      <c r="P6" s="364"/>
    </row>
    <row r="7" spans="2:19" ht="15" customHeight="1" x14ac:dyDescent="0.25">
      <c r="P7" s="364"/>
    </row>
    <row r="8" spans="2:19" ht="15" customHeight="1" x14ac:dyDescent="0.25">
      <c r="P8" s="364"/>
    </row>
    <row r="9" spans="2:19" ht="18.75" x14ac:dyDescent="0.3">
      <c r="B9" s="41" t="s">
        <v>149</v>
      </c>
      <c r="C9" s="42"/>
      <c r="D9" s="42"/>
      <c r="E9" s="42"/>
      <c r="F9" s="42"/>
      <c r="G9" s="42"/>
      <c r="H9" s="42"/>
      <c r="I9" s="42"/>
      <c r="J9" s="42"/>
      <c r="K9" s="42"/>
      <c r="L9" s="42"/>
      <c r="M9" s="42"/>
      <c r="N9" s="42"/>
      <c r="O9" s="42"/>
      <c r="P9" s="42"/>
      <c r="Q9" s="264" t="s">
        <v>135</v>
      </c>
      <c r="R9" s="459" t="s">
        <v>305</v>
      </c>
      <c r="S9" s="460"/>
    </row>
    <row r="10" spans="2:19" ht="18.75" x14ac:dyDescent="0.3">
      <c r="B10" s="418" t="str">
        <f>'A Y  II D3'!B10:N10</f>
        <v>Fondo de Aportaciones para la Educación Tecnológica y de Adultos/Instituto Nacional para la Educación de los Adultos (FAETA/INEA)</v>
      </c>
      <c r="C10" s="419"/>
      <c r="D10" s="419"/>
      <c r="E10" s="419"/>
      <c r="F10" s="419"/>
      <c r="G10" s="419"/>
      <c r="H10" s="419"/>
      <c r="I10" s="419"/>
      <c r="J10" s="419"/>
      <c r="K10" s="44"/>
      <c r="L10" s="44"/>
      <c r="M10" s="44"/>
      <c r="N10" s="44"/>
      <c r="O10" s="44"/>
      <c r="P10" s="44"/>
      <c r="Q10" s="44"/>
      <c r="R10" s="262"/>
      <c r="S10" s="365" t="str">
        <f>'A Y  II D3'!X10</f>
        <v>3er. Trimestre 2019</v>
      </c>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25">
      <c r="P12" s="364"/>
    </row>
    <row r="13" spans="2:19" ht="22.5" customHeight="1" x14ac:dyDescent="0.25">
      <c r="B13" s="462" t="s">
        <v>22</v>
      </c>
      <c r="C13" s="462" t="s">
        <v>23</v>
      </c>
      <c r="D13" s="462" t="s">
        <v>24</v>
      </c>
      <c r="E13" s="462" t="s">
        <v>71</v>
      </c>
      <c r="F13" s="458" t="s">
        <v>72</v>
      </c>
      <c r="G13" s="458" t="s">
        <v>33</v>
      </c>
      <c r="H13" s="461" t="s">
        <v>74</v>
      </c>
      <c r="I13" s="461"/>
      <c r="J13" s="461"/>
      <c r="K13" s="458" t="s">
        <v>75</v>
      </c>
      <c r="L13" s="458" t="s">
        <v>76</v>
      </c>
      <c r="M13" s="458" t="s">
        <v>77</v>
      </c>
      <c r="N13" s="458" t="s">
        <v>78</v>
      </c>
      <c r="O13" s="458" t="s">
        <v>79</v>
      </c>
      <c r="P13" s="463" t="s">
        <v>80</v>
      </c>
      <c r="Q13" s="458" t="s">
        <v>81</v>
      </c>
      <c r="R13" s="458" t="s">
        <v>82</v>
      </c>
      <c r="S13" s="458" t="s">
        <v>83</v>
      </c>
    </row>
    <row r="14" spans="2:19" ht="62.25" customHeight="1" x14ac:dyDescent="0.25">
      <c r="B14" s="462"/>
      <c r="C14" s="462"/>
      <c r="D14" s="462"/>
      <c r="E14" s="462"/>
      <c r="F14" s="458"/>
      <c r="G14" s="458"/>
      <c r="H14" s="288" t="s">
        <v>40</v>
      </c>
      <c r="I14" s="288" t="s">
        <v>84</v>
      </c>
      <c r="J14" s="289" t="s">
        <v>13</v>
      </c>
      <c r="K14" s="458"/>
      <c r="L14" s="458"/>
      <c r="M14" s="458"/>
      <c r="N14" s="458"/>
      <c r="O14" s="458"/>
      <c r="P14" s="464"/>
      <c r="Q14" s="458"/>
      <c r="R14" s="458"/>
      <c r="S14" s="458"/>
    </row>
    <row r="15" spans="2:19" ht="5.0999999999999996" customHeight="1" x14ac:dyDescent="0.25">
      <c r="P15" s="364"/>
    </row>
    <row r="16" spans="2:19" ht="31.5" hidden="1" customHeight="1" x14ac:dyDescent="0.25">
      <c r="B16" s="213" t="s">
        <v>22</v>
      </c>
      <c r="C16" s="213" t="s">
        <v>23</v>
      </c>
      <c r="D16" s="213" t="s">
        <v>24</v>
      </c>
      <c r="E16" s="213" t="s">
        <v>71</v>
      </c>
      <c r="F16" s="214" t="s">
        <v>72</v>
      </c>
      <c r="G16" s="214" t="s">
        <v>73</v>
      </c>
      <c r="H16" s="199" t="s">
        <v>40</v>
      </c>
      <c r="I16" s="199" t="s">
        <v>84</v>
      </c>
      <c r="J16" s="200" t="s">
        <v>13</v>
      </c>
      <c r="K16" s="214" t="s">
        <v>75</v>
      </c>
      <c r="L16" s="214" t="s">
        <v>76</v>
      </c>
      <c r="M16" s="214" t="s">
        <v>77</v>
      </c>
      <c r="N16" s="214" t="s">
        <v>78</v>
      </c>
      <c r="O16" s="214" t="s">
        <v>79</v>
      </c>
      <c r="P16" s="214" t="s">
        <v>80</v>
      </c>
      <c r="Q16" s="214" t="s">
        <v>81</v>
      </c>
      <c r="R16" s="214" t="s">
        <v>82</v>
      </c>
      <c r="S16" s="214" t="s">
        <v>83</v>
      </c>
    </row>
    <row r="17" spans="2:19" s="254" customFormat="1" x14ac:dyDescent="0.25">
      <c r="B17" s="364">
        <v>6</v>
      </c>
      <c r="C17" s="364">
        <v>61</v>
      </c>
      <c r="D17" s="364">
        <v>64</v>
      </c>
      <c r="E17" s="362" t="s">
        <v>322</v>
      </c>
      <c r="F17" s="362" t="s">
        <v>323</v>
      </c>
      <c r="G17" s="364">
        <v>83101</v>
      </c>
      <c r="H17" s="364">
        <v>1</v>
      </c>
      <c r="I17" s="364" t="s">
        <v>769</v>
      </c>
      <c r="J17" s="364" t="s">
        <v>768</v>
      </c>
      <c r="K17" s="54" t="s">
        <v>319</v>
      </c>
      <c r="L17" s="364">
        <v>29</v>
      </c>
      <c r="M17" s="380">
        <v>2</v>
      </c>
      <c r="N17" s="54" t="s">
        <v>321</v>
      </c>
      <c r="O17" s="364">
        <v>6511.95</v>
      </c>
      <c r="P17" s="364">
        <v>0</v>
      </c>
      <c r="Q17" s="364">
        <v>4</v>
      </c>
      <c r="R17" s="364">
        <v>0</v>
      </c>
      <c r="S17" s="364">
        <v>26047.8</v>
      </c>
    </row>
    <row r="18" spans="2:19" x14ac:dyDescent="0.25">
      <c r="B18" s="364">
        <v>6</v>
      </c>
      <c r="C18" s="364">
        <v>61</v>
      </c>
      <c r="D18" s="364">
        <v>64</v>
      </c>
      <c r="E18" s="362" t="s">
        <v>322</v>
      </c>
      <c r="F18" s="362" t="s">
        <v>323</v>
      </c>
      <c r="G18" s="364">
        <v>83101</v>
      </c>
      <c r="H18" s="364">
        <v>1</v>
      </c>
      <c r="I18" s="364" t="s">
        <v>761</v>
      </c>
      <c r="J18" s="364" t="s">
        <v>760</v>
      </c>
      <c r="K18" s="54" t="s">
        <v>319</v>
      </c>
      <c r="L18" s="364">
        <v>70</v>
      </c>
      <c r="M18" s="380">
        <v>3</v>
      </c>
      <c r="N18" s="54" t="s">
        <v>321</v>
      </c>
      <c r="O18" s="364">
        <v>6685.65</v>
      </c>
      <c r="P18" s="364">
        <v>0</v>
      </c>
      <c r="Q18" s="364">
        <v>19</v>
      </c>
      <c r="R18" s="364">
        <v>0</v>
      </c>
      <c r="S18" s="364">
        <v>127027.35</v>
      </c>
    </row>
    <row r="19" spans="2:19" x14ac:dyDescent="0.25">
      <c r="B19" s="364">
        <v>6</v>
      </c>
      <c r="C19" s="364">
        <v>61</v>
      </c>
      <c r="D19" s="364">
        <v>64</v>
      </c>
      <c r="E19" s="362" t="s">
        <v>322</v>
      </c>
      <c r="F19" s="362" t="s">
        <v>323</v>
      </c>
      <c r="G19" s="364">
        <v>83101</v>
      </c>
      <c r="H19" s="364">
        <v>1</v>
      </c>
      <c r="I19" s="364" t="s">
        <v>759</v>
      </c>
      <c r="J19" s="364" t="s">
        <v>758</v>
      </c>
      <c r="K19" s="54" t="s">
        <v>319</v>
      </c>
      <c r="L19" s="364">
        <v>81</v>
      </c>
      <c r="M19" s="380">
        <v>5</v>
      </c>
      <c r="N19" s="54" t="s">
        <v>321</v>
      </c>
      <c r="O19" s="364">
        <v>7050.25</v>
      </c>
      <c r="P19" s="364">
        <v>0</v>
      </c>
      <c r="Q19" s="364">
        <v>27</v>
      </c>
      <c r="R19" s="364">
        <v>0</v>
      </c>
      <c r="S19" s="364">
        <v>190356.75</v>
      </c>
    </row>
    <row r="20" spans="2:19" x14ac:dyDescent="0.25">
      <c r="B20" s="364">
        <v>6</v>
      </c>
      <c r="C20" s="364">
        <v>61</v>
      </c>
      <c r="D20" s="364">
        <v>64</v>
      </c>
      <c r="E20" s="362" t="s">
        <v>322</v>
      </c>
      <c r="F20" s="362" t="s">
        <v>323</v>
      </c>
      <c r="G20" s="364">
        <v>83101</v>
      </c>
      <c r="H20" s="364">
        <v>1</v>
      </c>
      <c r="I20" s="364" t="s">
        <v>765</v>
      </c>
      <c r="J20" s="364" t="s">
        <v>796</v>
      </c>
      <c r="K20" s="54" t="s">
        <v>319</v>
      </c>
      <c r="L20" s="364">
        <v>43</v>
      </c>
      <c r="M20" s="380">
        <v>2</v>
      </c>
      <c r="N20" s="54" t="s">
        <v>321</v>
      </c>
      <c r="O20" s="364">
        <v>6511.95</v>
      </c>
      <c r="P20" s="364">
        <v>0</v>
      </c>
      <c r="Q20" s="364">
        <v>27</v>
      </c>
      <c r="R20" s="364">
        <v>0</v>
      </c>
      <c r="S20" s="364">
        <v>175822.65</v>
      </c>
    </row>
    <row r="21" spans="2:19" x14ac:dyDescent="0.25">
      <c r="B21" s="364">
        <v>6</v>
      </c>
      <c r="C21" s="364">
        <v>61</v>
      </c>
      <c r="D21" s="364">
        <v>64</v>
      </c>
      <c r="E21" s="362" t="s">
        <v>322</v>
      </c>
      <c r="F21" s="362" t="s">
        <v>323</v>
      </c>
      <c r="G21" s="364">
        <v>83101</v>
      </c>
      <c r="H21" s="364">
        <v>1</v>
      </c>
      <c r="I21" s="364" t="s">
        <v>767</v>
      </c>
      <c r="J21" s="364" t="s">
        <v>766</v>
      </c>
      <c r="K21" s="54" t="s">
        <v>319</v>
      </c>
      <c r="L21" s="364">
        <v>93</v>
      </c>
      <c r="M21" s="380" t="s">
        <v>320</v>
      </c>
      <c r="N21" s="54" t="s">
        <v>321</v>
      </c>
      <c r="O21" s="364">
        <v>5164.5</v>
      </c>
      <c r="P21" s="364">
        <v>0</v>
      </c>
      <c r="Q21" s="364">
        <v>5</v>
      </c>
      <c r="R21" s="364">
        <v>0</v>
      </c>
      <c r="S21" s="364">
        <v>25822.5</v>
      </c>
    </row>
    <row r="22" spans="2:19" x14ac:dyDescent="0.25">
      <c r="B22" s="364">
        <v>6</v>
      </c>
      <c r="C22" s="364">
        <v>61</v>
      </c>
      <c r="D22" s="364">
        <v>64</v>
      </c>
      <c r="E22" s="362" t="s">
        <v>322</v>
      </c>
      <c r="F22" s="362" t="s">
        <v>323</v>
      </c>
      <c r="G22" s="364">
        <v>83101</v>
      </c>
      <c r="H22" s="364">
        <v>1</v>
      </c>
      <c r="I22" s="364" t="s">
        <v>770</v>
      </c>
      <c r="J22" s="364" t="s">
        <v>1384</v>
      </c>
      <c r="K22" s="54" t="s">
        <v>319</v>
      </c>
      <c r="L22" s="364">
        <v>97</v>
      </c>
      <c r="M22" s="380" t="s">
        <v>773</v>
      </c>
      <c r="N22" s="54" t="s">
        <v>321</v>
      </c>
      <c r="O22" s="364">
        <v>14611.06</v>
      </c>
      <c r="P22" s="364">
        <v>0</v>
      </c>
      <c r="Q22" s="364">
        <v>1</v>
      </c>
      <c r="R22" s="364">
        <v>0</v>
      </c>
      <c r="S22" s="364">
        <v>14611.06</v>
      </c>
    </row>
    <row r="23" spans="2:19" x14ac:dyDescent="0.25">
      <c r="B23" s="364">
        <v>6</v>
      </c>
      <c r="C23" s="364">
        <v>61</v>
      </c>
      <c r="D23" s="364">
        <v>64</v>
      </c>
      <c r="E23" s="362" t="s">
        <v>322</v>
      </c>
      <c r="F23" s="362" t="s">
        <v>323</v>
      </c>
      <c r="G23" s="364">
        <v>83101</v>
      </c>
      <c r="H23" s="364">
        <v>1</v>
      </c>
      <c r="I23" s="364" t="s">
        <v>1759</v>
      </c>
      <c r="J23" s="364" t="s">
        <v>1392</v>
      </c>
      <c r="K23" s="54" t="s">
        <v>319</v>
      </c>
      <c r="L23" s="364">
        <v>1</v>
      </c>
      <c r="M23" s="380">
        <v>9</v>
      </c>
      <c r="N23" s="54" t="s">
        <v>321</v>
      </c>
      <c r="O23" s="364">
        <v>7384.35</v>
      </c>
      <c r="P23" s="364">
        <v>0</v>
      </c>
      <c r="Q23" s="364">
        <v>15</v>
      </c>
      <c r="R23" s="364">
        <v>0</v>
      </c>
      <c r="S23" s="364">
        <v>110765.25</v>
      </c>
    </row>
    <row r="24" spans="2:19" x14ac:dyDescent="0.25">
      <c r="B24" s="364">
        <v>6</v>
      </c>
      <c r="C24" s="364">
        <v>61</v>
      </c>
      <c r="D24" s="364">
        <v>64</v>
      </c>
      <c r="E24" s="362" t="s">
        <v>322</v>
      </c>
      <c r="F24" s="362" t="s">
        <v>323</v>
      </c>
      <c r="G24" s="364">
        <v>83101</v>
      </c>
      <c r="H24" s="364">
        <v>1</v>
      </c>
      <c r="I24" s="364" t="s">
        <v>771</v>
      </c>
      <c r="J24" s="364" t="s">
        <v>1375</v>
      </c>
      <c r="K24" s="54" t="s">
        <v>319</v>
      </c>
      <c r="L24" s="364">
        <v>88</v>
      </c>
      <c r="M24" s="380">
        <v>8</v>
      </c>
      <c r="N24" s="54" t="s">
        <v>321</v>
      </c>
      <c r="O24" s="364">
        <v>7380</v>
      </c>
      <c r="P24" s="364">
        <v>0</v>
      </c>
      <c r="Q24" s="364">
        <v>12</v>
      </c>
      <c r="R24" s="364">
        <v>0</v>
      </c>
      <c r="S24" s="364">
        <v>88560</v>
      </c>
    </row>
    <row r="25" spans="2:19" x14ac:dyDescent="0.25">
      <c r="B25" s="364">
        <v>6</v>
      </c>
      <c r="C25" s="364">
        <v>61</v>
      </c>
      <c r="D25" s="364">
        <v>64</v>
      </c>
      <c r="E25" s="362" t="s">
        <v>322</v>
      </c>
      <c r="F25" s="362" t="s">
        <v>323</v>
      </c>
      <c r="G25" s="364">
        <v>83101</v>
      </c>
      <c r="H25" s="364">
        <v>1</v>
      </c>
      <c r="I25" s="364" t="s">
        <v>797</v>
      </c>
      <c r="J25" s="364" t="s">
        <v>760</v>
      </c>
      <c r="K25" s="54" t="s">
        <v>319</v>
      </c>
      <c r="L25" s="364">
        <v>70</v>
      </c>
      <c r="M25" s="380">
        <v>3</v>
      </c>
      <c r="N25" s="54" t="s">
        <v>321</v>
      </c>
      <c r="O25" s="364">
        <v>6685.65</v>
      </c>
      <c r="P25" s="364">
        <v>0</v>
      </c>
      <c r="Q25" s="364">
        <v>1</v>
      </c>
      <c r="R25" s="364">
        <v>0</v>
      </c>
      <c r="S25" s="364">
        <v>6685.65</v>
      </c>
    </row>
    <row r="26" spans="2:19" x14ac:dyDescent="0.25">
      <c r="B26" s="364">
        <v>6</v>
      </c>
      <c r="C26" s="364">
        <v>61</v>
      </c>
      <c r="D26" s="364">
        <v>64</v>
      </c>
      <c r="E26" s="362" t="s">
        <v>322</v>
      </c>
      <c r="F26" s="362" t="s">
        <v>323</v>
      </c>
      <c r="G26" s="364">
        <v>83101</v>
      </c>
      <c r="H26" s="364">
        <v>1</v>
      </c>
      <c r="I26" s="364" t="s">
        <v>318</v>
      </c>
      <c r="J26" s="364" t="s">
        <v>846</v>
      </c>
      <c r="K26" s="54" t="s">
        <v>319</v>
      </c>
      <c r="L26" s="364">
        <v>95</v>
      </c>
      <c r="M26" s="380" t="s">
        <v>320</v>
      </c>
      <c r="N26" s="54" t="s">
        <v>321</v>
      </c>
      <c r="O26" s="364">
        <v>5164.5</v>
      </c>
      <c r="P26" s="364">
        <v>0</v>
      </c>
      <c r="Q26" s="364">
        <v>1</v>
      </c>
      <c r="R26" s="364">
        <v>0</v>
      </c>
      <c r="S26" s="364">
        <v>5164.5</v>
      </c>
    </row>
    <row r="27" spans="2:19" x14ac:dyDescent="0.25">
      <c r="B27" s="364">
        <v>6</v>
      </c>
      <c r="C27" s="364">
        <v>61</v>
      </c>
      <c r="D27" s="364">
        <v>64</v>
      </c>
      <c r="E27" s="362" t="s">
        <v>322</v>
      </c>
      <c r="F27" s="362" t="s">
        <v>323</v>
      </c>
      <c r="G27" s="364">
        <v>83101</v>
      </c>
      <c r="H27" s="364">
        <v>1</v>
      </c>
      <c r="I27" s="364" t="s">
        <v>318</v>
      </c>
      <c r="J27" s="364" t="s">
        <v>1520</v>
      </c>
      <c r="K27" s="54" t="s">
        <v>319</v>
      </c>
      <c r="L27" s="364">
        <v>95</v>
      </c>
      <c r="M27" s="380" t="s">
        <v>320</v>
      </c>
      <c r="N27" s="54" t="s">
        <v>321</v>
      </c>
      <c r="O27" s="364">
        <v>4190.8999999999996</v>
      </c>
      <c r="P27" s="364">
        <v>0</v>
      </c>
      <c r="Q27" s="364">
        <v>11</v>
      </c>
      <c r="R27" s="364">
        <v>0</v>
      </c>
      <c r="S27" s="364">
        <v>46099.9</v>
      </c>
    </row>
    <row r="28" spans="2:19" x14ac:dyDescent="0.25">
      <c r="B28" s="364">
        <v>6</v>
      </c>
      <c r="C28" s="364">
        <v>61</v>
      </c>
      <c r="D28" s="364">
        <v>64</v>
      </c>
      <c r="E28" s="362" t="s">
        <v>322</v>
      </c>
      <c r="F28" s="362" t="s">
        <v>323</v>
      </c>
      <c r="G28" s="364">
        <v>83101</v>
      </c>
      <c r="H28" s="364">
        <v>1</v>
      </c>
      <c r="I28" s="364" t="s">
        <v>318</v>
      </c>
      <c r="J28" s="364" t="s">
        <v>1393</v>
      </c>
      <c r="K28" s="54" t="s">
        <v>319</v>
      </c>
      <c r="L28" s="364">
        <v>95</v>
      </c>
      <c r="M28" s="380" t="s">
        <v>320</v>
      </c>
      <c r="N28" s="54" t="s">
        <v>321</v>
      </c>
      <c r="O28" s="364">
        <v>4328.8500000000004</v>
      </c>
      <c r="P28" s="364">
        <v>0</v>
      </c>
      <c r="Q28" s="364">
        <v>3</v>
      </c>
      <c r="R28" s="364">
        <v>0</v>
      </c>
      <c r="S28" s="364">
        <v>12986.55</v>
      </c>
    </row>
    <row r="29" spans="2:19" x14ac:dyDescent="0.25">
      <c r="B29" s="364">
        <v>6</v>
      </c>
      <c r="C29" s="364">
        <v>61</v>
      </c>
      <c r="D29" s="364">
        <v>64</v>
      </c>
      <c r="E29" s="362" t="s">
        <v>322</v>
      </c>
      <c r="F29" s="362" t="s">
        <v>323</v>
      </c>
      <c r="G29" s="364">
        <v>83101</v>
      </c>
      <c r="H29" s="364">
        <v>1</v>
      </c>
      <c r="I29" s="364" t="s">
        <v>762</v>
      </c>
      <c r="J29" s="364" t="s">
        <v>1380</v>
      </c>
      <c r="K29" s="54" t="s">
        <v>319</v>
      </c>
      <c r="L29" s="364">
        <v>21</v>
      </c>
      <c r="M29" s="380">
        <v>2</v>
      </c>
      <c r="N29" s="54" t="s">
        <v>321</v>
      </c>
      <c r="O29" s="364">
        <v>6511.95</v>
      </c>
      <c r="P29" s="364">
        <v>0</v>
      </c>
      <c r="Q29" s="364">
        <v>4</v>
      </c>
      <c r="R29" s="364">
        <v>0</v>
      </c>
      <c r="S29" s="364">
        <v>26047.8</v>
      </c>
    </row>
    <row r="30" spans="2:19" x14ac:dyDescent="0.25">
      <c r="B30" s="364">
        <v>6</v>
      </c>
      <c r="C30" s="364">
        <v>61</v>
      </c>
      <c r="D30" s="364">
        <v>64</v>
      </c>
      <c r="E30" s="362" t="s">
        <v>322</v>
      </c>
      <c r="F30" s="362" t="s">
        <v>323</v>
      </c>
      <c r="G30" s="364">
        <v>83101</v>
      </c>
      <c r="H30" s="364">
        <v>1</v>
      </c>
      <c r="I30" s="364" t="s">
        <v>757</v>
      </c>
      <c r="J30" s="364" t="s">
        <v>756</v>
      </c>
      <c r="K30" s="54" t="s">
        <v>319</v>
      </c>
      <c r="L30" s="364">
        <v>47</v>
      </c>
      <c r="M30" s="380">
        <v>2</v>
      </c>
      <c r="N30" s="54" t="s">
        <v>321</v>
      </c>
      <c r="O30" s="364">
        <v>6511.95</v>
      </c>
      <c r="P30" s="364">
        <v>0</v>
      </c>
      <c r="Q30" s="364">
        <v>24</v>
      </c>
      <c r="R30" s="364">
        <v>0</v>
      </c>
      <c r="S30" s="364">
        <v>156286.79999999999</v>
      </c>
    </row>
    <row r="31" spans="2:19" x14ac:dyDescent="0.25">
      <c r="B31" s="364">
        <v>6</v>
      </c>
      <c r="C31" s="364">
        <v>61</v>
      </c>
      <c r="D31" s="364">
        <v>64</v>
      </c>
      <c r="E31" s="362" t="s">
        <v>322</v>
      </c>
      <c r="F31" s="362" t="s">
        <v>323</v>
      </c>
      <c r="G31" s="364">
        <v>83101</v>
      </c>
      <c r="H31" s="364">
        <v>1</v>
      </c>
      <c r="I31" s="364" t="s">
        <v>764</v>
      </c>
      <c r="J31" s="364" t="s">
        <v>763</v>
      </c>
      <c r="K31" s="54" t="s">
        <v>319</v>
      </c>
      <c r="L31" s="364">
        <v>39</v>
      </c>
      <c r="M31" s="380">
        <v>2</v>
      </c>
      <c r="N31" s="364" t="s">
        <v>321</v>
      </c>
      <c r="O31" s="364">
        <v>6511.95</v>
      </c>
      <c r="P31" s="364">
        <v>0</v>
      </c>
      <c r="Q31" s="364">
        <v>25</v>
      </c>
      <c r="R31" s="364">
        <v>0</v>
      </c>
      <c r="S31" s="364">
        <v>162798.75</v>
      </c>
    </row>
    <row r="32" spans="2:19" x14ac:dyDescent="0.25">
      <c r="B32" s="364">
        <v>6</v>
      </c>
      <c r="C32" s="364">
        <v>61</v>
      </c>
      <c r="D32" s="364">
        <v>64</v>
      </c>
      <c r="E32" s="362" t="s">
        <v>322</v>
      </c>
      <c r="F32" s="362" t="s">
        <v>323</v>
      </c>
      <c r="G32" s="364">
        <v>83101</v>
      </c>
      <c r="H32" s="364">
        <v>1</v>
      </c>
      <c r="I32" s="364" t="s">
        <v>317</v>
      </c>
      <c r="J32" s="364" t="s">
        <v>316</v>
      </c>
      <c r="K32" s="54" t="s">
        <v>319</v>
      </c>
      <c r="L32" s="364">
        <v>82</v>
      </c>
      <c r="M32" s="380">
        <v>7</v>
      </c>
      <c r="N32" s="364" t="s">
        <v>321</v>
      </c>
      <c r="O32" s="364">
        <v>7293.35</v>
      </c>
      <c r="P32" s="364">
        <v>0</v>
      </c>
      <c r="Q32" s="364">
        <v>174</v>
      </c>
      <c r="R32" s="364">
        <v>0</v>
      </c>
      <c r="S32" s="364">
        <v>1269042.8999999999</v>
      </c>
    </row>
    <row r="33" spans="2:19" x14ac:dyDescent="0.25">
      <c r="B33" s="364">
        <v>6</v>
      </c>
      <c r="C33" s="364">
        <v>61</v>
      </c>
      <c r="D33" s="364">
        <v>64</v>
      </c>
      <c r="E33" s="362" t="s">
        <v>322</v>
      </c>
      <c r="F33" s="362" t="s">
        <v>323</v>
      </c>
      <c r="G33" s="364">
        <v>83101</v>
      </c>
      <c r="H33" s="364">
        <v>1</v>
      </c>
      <c r="I33" s="364" t="s">
        <v>772</v>
      </c>
      <c r="J33" s="364" t="s">
        <v>908</v>
      </c>
      <c r="K33" s="54" t="s">
        <v>319</v>
      </c>
      <c r="L33" s="364">
        <v>86</v>
      </c>
      <c r="M33" s="380">
        <v>7</v>
      </c>
      <c r="N33" s="364" t="s">
        <v>321</v>
      </c>
      <c r="O33" s="364">
        <v>7293.35</v>
      </c>
      <c r="P33" s="364">
        <v>0</v>
      </c>
      <c r="Q33" s="364">
        <v>6</v>
      </c>
      <c r="R33" s="364">
        <v>0</v>
      </c>
      <c r="S33" s="364">
        <v>43760.1</v>
      </c>
    </row>
    <row r="34" spans="2:19" x14ac:dyDescent="0.25">
      <c r="B34" s="110" t="s">
        <v>1401</v>
      </c>
      <c r="C34" s="55"/>
      <c r="D34" s="55">
        <f>SUM(Tabla15[Tipo de Categoría])</f>
        <v>17</v>
      </c>
      <c r="E34" s="59"/>
      <c r="F34" s="59"/>
      <c r="G34" s="59"/>
      <c r="H34" s="59"/>
      <c r="I34" s="59"/>
      <c r="J34" s="59"/>
      <c r="K34" s="59"/>
      <c r="L34" s="59"/>
      <c r="M34" s="85"/>
      <c r="N34" s="272" t="s">
        <v>191</v>
      </c>
      <c r="O34" s="257">
        <f>SUBTOTAL(109,Tabla15[Monto mensual
por plaza jornada])</f>
        <v>115792.16</v>
      </c>
      <c r="P34" s="160"/>
      <c r="Q34" s="416" t="s">
        <v>193</v>
      </c>
      <c r="R34" s="416"/>
      <c r="S34" s="202">
        <f>SUBTOTAL(109,Tabla15[Monto total autorizado])</f>
        <v>2487886.31</v>
      </c>
    </row>
    <row r="35" spans="2:19" x14ac:dyDescent="0.25">
      <c r="B35" s="68"/>
      <c r="C35" s="69"/>
      <c r="D35" s="69"/>
      <c r="E35" s="69"/>
      <c r="F35" s="69"/>
      <c r="G35" s="69"/>
      <c r="H35" s="69"/>
      <c r="I35" s="69"/>
      <c r="J35" s="69"/>
      <c r="K35" s="69"/>
      <c r="L35" s="69"/>
      <c r="M35" s="85"/>
      <c r="N35" s="272" t="s">
        <v>192</v>
      </c>
      <c r="O35" s="85"/>
      <c r="P35" s="155">
        <f>SUM(O39)</f>
        <v>0</v>
      </c>
      <c r="Q35" s="85"/>
      <c r="R35" s="107"/>
      <c r="S35" s="108"/>
    </row>
    <row r="36" spans="2:19" x14ac:dyDescent="0.25">
      <c r="B36" s="70"/>
      <c r="C36" s="71"/>
      <c r="D36" s="71"/>
      <c r="E36" s="71"/>
      <c r="F36" s="71"/>
      <c r="G36" s="71"/>
      <c r="H36" s="71"/>
      <c r="I36" s="71"/>
      <c r="J36" s="71"/>
      <c r="K36" s="71"/>
      <c r="L36" s="71"/>
      <c r="M36" s="161"/>
      <c r="N36" s="161"/>
      <c r="O36" s="161"/>
      <c r="P36" s="161"/>
      <c r="Q36" s="161"/>
      <c r="R36" s="161"/>
      <c r="S36" s="162"/>
    </row>
    <row r="37" spans="2:19" x14ac:dyDescent="0.25">
      <c r="B37" s="47" t="s">
        <v>152</v>
      </c>
      <c r="C37" s="48"/>
      <c r="D37" s="48"/>
      <c r="E37" s="48"/>
      <c r="F37" s="222"/>
      <c r="G37" s="48"/>
      <c r="H37" s="48"/>
      <c r="I37" s="48"/>
      <c r="J37" s="48"/>
      <c r="K37" s="48"/>
      <c r="L37" s="48"/>
      <c r="M37" s="48"/>
      <c r="N37" s="48"/>
      <c r="O37" s="48"/>
      <c r="P37" s="48"/>
      <c r="Q37" s="48"/>
      <c r="R37" s="48"/>
      <c r="S37" s="48"/>
    </row>
    <row r="38" spans="2:19" x14ac:dyDescent="0.25">
      <c r="B38" s="48"/>
      <c r="C38" s="48"/>
      <c r="D38" s="48"/>
      <c r="E38" s="48"/>
      <c r="F38" s="48"/>
      <c r="G38" s="48"/>
      <c r="H38" s="48"/>
      <c r="I38" s="48"/>
      <c r="J38" s="48"/>
      <c r="K38" s="48"/>
      <c r="L38" s="48"/>
      <c r="M38" s="48"/>
      <c r="N38" s="48"/>
      <c r="O38" s="48"/>
      <c r="P38" s="48"/>
      <c r="Q38" s="48"/>
      <c r="R38" s="48"/>
      <c r="S38" s="48"/>
    </row>
  </sheetData>
  <mergeCells count="19">
    <mergeCell ref="Q34:R34"/>
    <mergeCell ref="S13:S14"/>
    <mergeCell ref="N13:N14"/>
    <mergeCell ref="O13:O14"/>
    <mergeCell ref="P13:P14"/>
    <mergeCell ref="Q13:Q14"/>
    <mergeCell ref="R9:S9"/>
    <mergeCell ref="B10:J10"/>
    <mergeCell ref="G13:G14"/>
    <mergeCell ref="H13:J13"/>
    <mergeCell ref="K13:K14"/>
    <mergeCell ref="L13:L14"/>
    <mergeCell ref="M13:M14"/>
    <mergeCell ref="B13:B14"/>
    <mergeCell ref="C13:C14"/>
    <mergeCell ref="D13:D14"/>
    <mergeCell ref="E13:E14"/>
    <mergeCell ref="F13:F14"/>
    <mergeCell ref="R13:R14"/>
  </mergeCells>
  <dataValidations disablePrompts="1"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40"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B1:R41"/>
  <sheetViews>
    <sheetView showGridLines="0" view="pageLayout" zoomScaleNormal="110" workbookViewId="0">
      <selection activeCell="F79" sqref="F79"/>
    </sheetView>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4"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c r="G8" s="24">
        <v>1</v>
      </c>
    </row>
    <row r="11" spans="2:18" ht="18.75" x14ac:dyDescent="0.3">
      <c r="B11" s="41" t="s">
        <v>150</v>
      </c>
      <c r="C11" s="42"/>
      <c r="D11" s="42"/>
      <c r="E11" s="42"/>
      <c r="F11" s="42"/>
      <c r="G11" s="42"/>
      <c r="H11" s="42"/>
      <c r="I11" s="42"/>
      <c r="J11" s="42"/>
      <c r="K11" s="42"/>
      <c r="L11" s="42"/>
      <c r="M11" s="42"/>
      <c r="N11" s="42"/>
      <c r="O11" s="42"/>
      <c r="P11" s="264" t="s">
        <v>135</v>
      </c>
      <c r="Q11" s="459" t="str">
        <f>'A Y  II D3'!X9</f>
        <v>GUANAJUATO</v>
      </c>
      <c r="R11" s="460"/>
    </row>
    <row r="12" spans="2:18" ht="18.75" x14ac:dyDescent="0.3">
      <c r="B12" s="418" t="str">
        <f>'A Y  II D3'!B10:N10</f>
        <v>Fondo de Aportaciones para la Educación Tecnológica y de Adultos/Instituto Nacional para la Educación de los Adultos (FAETA/INEA)</v>
      </c>
      <c r="C12" s="419"/>
      <c r="D12" s="419"/>
      <c r="E12" s="419"/>
      <c r="F12" s="419"/>
      <c r="G12" s="419"/>
      <c r="H12" s="419"/>
      <c r="I12" s="419"/>
      <c r="J12" s="419"/>
      <c r="K12" s="44"/>
      <c r="L12" s="44"/>
      <c r="M12" s="44"/>
      <c r="N12" s="44"/>
      <c r="O12" s="44"/>
      <c r="P12" s="44"/>
      <c r="Q12" s="262"/>
      <c r="R12" s="373" t="str">
        <f>'A Y  II D3'!X10</f>
        <v>3er. Trimestre 2019</v>
      </c>
    </row>
    <row r="13" spans="2:18" x14ac:dyDescent="0.25">
      <c r="B13" s="37"/>
      <c r="C13" s="38"/>
      <c r="D13" s="38"/>
      <c r="E13" s="38"/>
      <c r="F13" s="38"/>
      <c r="G13" s="38"/>
      <c r="H13" s="38"/>
      <c r="I13" s="38"/>
      <c r="J13" s="38"/>
      <c r="K13" s="38"/>
      <c r="L13" s="38"/>
      <c r="M13" s="38"/>
      <c r="N13" s="38"/>
      <c r="O13" s="38"/>
      <c r="P13" s="38"/>
      <c r="Q13" s="38"/>
      <c r="R13" s="46"/>
    </row>
    <row r="14" spans="2:18" ht="5.0999999999999996" customHeight="1" x14ac:dyDescent="0.25">
      <c r="G14"/>
    </row>
    <row r="15" spans="2:18" ht="39.75" customHeight="1" x14ac:dyDescent="0.25">
      <c r="B15" s="465" t="s">
        <v>19</v>
      </c>
      <c r="C15" s="458" t="s">
        <v>85</v>
      </c>
      <c r="D15" s="458" t="s">
        <v>86</v>
      </c>
      <c r="E15" s="458" t="s">
        <v>20</v>
      </c>
      <c r="F15" s="458" t="s">
        <v>21</v>
      </c>
      <c r="G15" s="466" t="s">
        <v>87</v>
      </c>
      <c r="H15" s="458" t="s">
        <v>88</v>
      </c>
      <c r="I15" s="458" t="s">
        <v>89</v>
      </c>
      <c r="J15" s="461" t="s">
        <v>90</v>
      </c>
      <c r="K15" s="461"/>
      <c r="L15" s="461"/>
      <c r="M15" s="461"/>
      <c r="N15" s="461"/>
      <c r="O15" s="461" t="s">
        <v>91</v>
      </c>
      <c r="P15" s="461"/>
      <c r="Q15" s="461"/>
      <c r="R15" s="458" t="s">
        <v>92</v>
      </c>
    </row>
    <row r="16" spans="2:18" ht="82.5" customHeight="1" x14ac:dyDescent="0.25">
      <c r="B16" s="465"/>
      <c r="C16" s="458"/>
      <c r="D16" s="458"/>
      <c r="E16" s="458"/>
      <c r="F16" s="458"/>
      <c r="G16" s="466"/>
      <c r="H16" s="458"/>
      <c r="I16" s="458"/>
      <c r="J16" s="288" t="s">
        <v>93</v>
      </c>
      <c r="K16" s="288" t="s">
        <v>94</v>
      </c>
      <c r="L16" s="288" t="s">
        <v>95</v>
      </c>
      <c r="M16" s="288" t="s">
        <v>96</v>
      </c>
      <c r="N16" s="288" t="s">
        <v>97</v>
      </c>
      <c r="O16" s="288" t="s">
        <v>98</v>
      </c>
      <c r="P16" s="288" t="s">
        <v>99</v>
      </c>
      <c r="Q16" s="288" t="s">
        <v>100</v>
      </c>
      <c r="R16" s="458"/>
    </row>
    <row r="17" spans="2:18" ht="5.0999999999999996" customHeight="1" x14ac:dyDescent="0.25"/>
    <row r="18" spans="2:18" ht="75" hidden="1" x14ac:dyDescent="0.25">
      <c r="B18" s="215" t="s">
        <v>19</v>
      </c>
      <c r="C18" s="214" t="s">
        <v>85</v>
      </c>
      <c r="D18" s="214" t="s">
        <v>86</v>
      </c>
      <c r="E18" s="214" t="s">
        <v>20</v>
      </c>
      <c r="F18" s="214" t="s">
        <v>21</v>
      </c>
      <c r="G18" s="216" t="s">
        <v>87</v>
      </c>
      <c r="H18" s="214" t="s">
        <v>88</v>
      </c>
      <c r="I18" s="214" t="s">
        <v>89</v>
      </c>
      <c r="J18" s="199" t="s">
        <v>93</v>
      </c>
      <c r="K18" s="199" t="s">
        <v>94</v>
      </c>
      <c r="L18" s="199" t="s">
        <v>95</v>
      </c>
      <c r="M18" s="199" t="s">
        <v>96</v>
      </c>
      <c r="N18" s="199" t="s">
        <v>97</v>
      </c>
      <c r="O18" s="199" t="s">
        <v>98</v>
      </c>
      <c r="P18" s="199" t="s">
        <v>99</v>
      </c>
      <c r="Q18" s="199" t="s">
        <v>100</v>
      </c>
      <c r="R18" s="214" t="s">
        <v>92</v>
      </c>
    </row>
    <row r="19" spans="2:18" s="254" customFormat="1" x14ac:dyDescent="0.25">
      <c r="B19" s="364">
        <v>1</v>
      </c>
      <c r="C19" s="364" t="s">
        <v>769</v>
      </c>
      <c r="D19" s="364" t="s">
        <v>768</v>
      </c>
      <c r="E19" s="364" t="s">
        <v>321</v>
      </c>
      <c r="F19" s="364">
        <v>2</v>
      </c>
      <c r="G19" s="364" t="s">
        <v>1214</v>
      </c>
      <c r="H19" s="364" t="s">
        <v>769</v>
      </c>
      <c r="I19" s="7">
        <v>2</v>
      </c>
      <c r="J19" s="364">
        <v>201901</v>
      </c>
      <c r="K19" s="364">
        <v>999999</v>
      </c>
      <c r="L19" s="364">
        <v>0</v>
      </c>
      <c r="M19" s="364">
        <v>0</v>
      </c>
      <c r="N19" s="364">
        <v>6511.95</v>
      </c>
      <c r="O19" s="364">
        <v>35</v>
      </c>
      <c r="P19" s="364">
        <v>35</v>
      </c>
      <c r="Q19" s="364">
        <v>0</v>
      </c>
      <c r="R19" s="364">
        <v>20190930</v>
      </c>
    </row>
    <row r="20" spans="2:18" x14ac:dyDescent="0.25">
      <c r="B20" s="364">
        <v>1</v>
      </c>
      <c r="C20" s="364" t="s">
        <v>761</v>
      </c>
      <c r="D20" s="364" t="s">
        <v>760</v>
      </c>
      <c r="E20" s="364" t="s">
        <v>321</v>
      </c>
      <c r="F20" s="364">
        <v>2</v>
      </c>
      <c r="G20" s="364" t="s">
        <v>1214</v>
      </c>
      <c r="H20" s="364" t="s">
        <v>761</v>
      </c>
      <c r="I20" s="7">
        <v>3</v>
      </c>
      <c r="J20" s="364">
        <v>201901</v>
      </c>
      <c r="K20" s="364">
        <v>999999</v>
      </c>
      <c r="L20" s="364">
        <v>0</v>
      </c>
      <c r="M20" s="364">
        <v>0</v>
      </c>
      <c r="N20" s="364">
        <v>6685.65</v>
      </c>
      <c r="O20" s="364">
        <v>35</v>
      </c>
      <c r="P20" s="364">
        <v>35</v>
      </c>
      <c r="Q20" s="364">
        <v>0</v>
      </c>
      <c r="R20" s="364">
        <v>20190930</v>
      </c>
    </row>
    <row r="21" spans="2:18" x14ac:dyDescent="0.25">
      <c r="B21" s="364">
        <v>1</v>
      </c>
      <c r="C21" s="364" t="s">
        <v>759</v>
      </c>
      <c r="D21" s="364" t="s">
        <v>758</v>
      </c>
      <c r="E21" s="364" t="s">
        <v>321</v>
      </c>
      <c r="F21" s="364">
        <v>2</v>
      </c>
      <c r="G21" s="364" t="s">
        <v>1214</v>
      </c>
      <c r="H21" s="364" t="s">
        <v>759</v>
      </c>
      <c r="I21" s="7">
        <v>5</v>
      </c>
      <c r="J21" s="364">
        <v>201901</v>
      </c>
      <c r="K21" s="364">
        <v>999999</v>
      </c>
      <c r="L21" s="364">
        <v>0</v>
      </c>
      <c r="M21" s="364">
        <v>0</v>
      </c>
      <c r="N21" s="364">
        <v>7050.25</v>
      </c>
      <c r="O21" s="364">
        <v>35</v>
      </c>
      <c r="P21" s="364">
        <v>35</v>
      </c>
      <c r="Q21" s="364">
        <v>0</v>
      </c>
      <c r="R21" s="364">
        <v>20190930</v>
      </c>
    </row>
    <row r="22" spans="2:18" x14ac:dyDescent="0.25">
      <c r="B22" s="364">
        <v>1</v>
      </c>
      <c r="C22" s="364" t="s">
        <v>765</v>
      </c>
      <c r="D22" s="364" t="s">
        <v>796</v>
      </c>
      <c r="E22" s="364" t="s">
        <v>321</v>
      </c>
      <c r="F22" s="364">
        <v>2</v>
      </c>
      <c r="G22" s="364" t="s">
        <v>1214</v>
      </c>
      <c r="H22" s="364" t="s">
        <v>765</v>
      </c>
      <c r="I22" s="7">
        <v>2</v>
      </c>
      <c r="J22" s="364">
        <v>201901</v>
      </c>
      <c r="K22" s="364">
        <v>999999</v>
      </c>
      <c r="L22" s="364">
        <v>0</v>
      </c>
      <c r="M22" s="364">
        <v>0</v>
      </c>
      <c r="N22" s="364">
        <v>6511.95</v>
      </c>
      <c r="O22" s="364">
        <v>35</v>
      </c>
      <c r="P22" s="364">
        <v>35</v>
      </c>
      <c r="Q22" s="364">
        <v>0</v>
      </c>
      <c r="R22" s="364">
        <v>20190930</v>
      </c>
    </row>
    <row r="23" spans="2:18" x14ac:dyDescent="0.25">
      <c r="B23" s="364">
        <v>1</v>
      </c>
      <c r="C23" s="364" t="s">
        <v>767</v>
      </c>
      <c r="D23" s="364" t="s">
        <v>766</v>
      </c>
      <c r="E23" s="364" t="s">
        <v>321</v>
      </c>
      <c r="F23" s="364">
        <v>2</v>
      </c>
      <c r="G23" s="364" t="s">
        <v>1214</v>
      </c>
      <c r="H23" s="364" t="s">
        <v>767</v>
      </c>
      <c r="I23" s="7" t="s">
        <v>320</v>
      </c>
      <c r="J23" s="364">
        <v>201901</v>
      </c>
      <c r="K23" s="364">
        <v>999999</v>
      </c>
      <c r="L23" s="364">
        <v>0</v>
      </c>
      <c r="M23" s="364">
        <v>0</v>
      </c>
      <c r="N23" s="364">
        <v>5164.5</v>
      </c>
      <c r="O23" s="364">
        <v>35</v>
      </c>
      <c r="P23" s="364">
        <v>35</v>
      </c>
      <c r="Q23" s="364">
        <v>0</v>
      </c>
      <c r="R23" s="364">
        <v>20190930</v>
      </c>
    </row>
    <row r="24" spans="2:18" x14ac:dyDescent="0.25">
      <c r="B24" s="364">
        <v>1</v>
      </c>
      <c r="C24" s="364" t="s">
        <v>770</v>
      </c>
      <c r="D24" s="364" t="s">
        <v>1384</v>
      </c>
      <c r="E24" s="364" t="s">
        <v>321</v>
      </c>
      <c r="F24" s="364">
        <v>2</v>
      </c>
      <c r="G24" s="364" t="s">
        <v>1214</v>
      </c>
      <c r="H24" s="364" t="s">
        <v>770</v>
      </c>
      <c r="I24" s="7" t="s">
        <v>773</v>
      </c>
      <c r="J24" s="364">
        <v>201901</v>
      </c>
      <c r="K24" s="364">
        <v>999999</v>
      </c>
      <c r="L24" s="364">
        <v>0</v>
      </c>
      <c r="M24" s="364">
        <v>0</v>
      </c>
      <c r="N24" s="364">
        <v>14611.06</v>
      </c>
      <c r="O24" s="364">
        <v>35</v>
      </c>
      <c r="P24" s="364">
        <v>35</v>
      </c>
      <c r="Q24" s="364">
        <v>0</v>
      </c>
      <c r="R24" s="364">
        <v>20190930</v>
      </c>
    </row>
    <row r="25" spans="2:18" x14ac:dyDescent="0.25">
      <c r="B25" s="364">
        <v>1</v>
      </c>
      <c r="C25" s="364" t="s">
        <v>1391</v>
      </c>
      <c r="D25" s="364" t="s">
        <v>1392</v>
      </c>
      <c r="E25" s="364" t="s">
        <v>321</v>
      </c>
      <c r="F25" s="364">
        <v>2</v>
      </c>
      <c r="G25" s="364" t="s">
        <v>1214</v>
      </c>
      <c r="H25" s="364" t="s">
        <v>1759</v>
      </c>
      <c r="I25" s="7">
        <v>9</v>
      </c>
      <c r="J25" s="364">
        <v>201901</v>
      </c>
      <c r="K25" s="364">
        <v>999999</v>
      </c>
      <c r="L25" s="364">
        <v>0</v>
      </c>
      <c r="M25" s="364">
        <v>0</v>
      </c>
      <c r="N25" s="364">
        <v>7384.35</v>
      </c>
      <c r="O25" s="364">
        <v>35</v>
      </c>
      <c r="P25" s="364">
        <v>35</v>
      </c>
      <c r="Q25" s="364">
        <v>0</v>
      </c>
      <c r="R25" s="364">
        <v>20190930</v>
      </c>
    </row>
    <row r="26" spans="2:18" x14ac:dyDescent="0.25">
      <c r="B26" s="364">
        <v>1</v>
      </c>
      <c r="C26" s="364" t="s">
        <v>771</v>
      </c>
      <c r="D26" s="364" t="s">
        <v>1375</v>
      </c>
      <c r="E26" s="364" t="s">
        <v>321</v>
      </c>
      <c r="F26" s="364">
        <v>2</v>
      </c>
      <c r="G26" s="364" t="s">
        <v>1214</v>
      </c>
      <c r="H26" s="364" t="s">
        <v>771</v>
      </c>
      <c r="I26" s="7">
        <v>8</v>
      </c>
      <c r="J26" s="364">
        <v>201901</v>
      </c>
      <c r="K26" s="364">
        <v>999999</v>
      </c>
      <c r="L26" s="364">
        <v>0</v>
      </c>
      <c r="M26" s="364">
        <v>0</v>
      </c>
      <c r="N26" s="364">
        <v>7380</v>
      </c>
      <c r="O26" s="364">
        <v>35</v>
      </c>
      <c r="P26" s="364">
        <v>35</v>
      </c>
      <c r="Q26" s="364">
        <v>0</v>
      </c>
      <c r="R26" s="364">
        <v>20190930</v>
      </c>
    </row>
    <row r="27" spans="2:18" x14ac:dyDescent="0.25">
      <c r="B27" s="364">
        <v>1</v>
      </c>
      <c r="C27" s="364" t="s">
        <v>797</v>
      </c>
      <c r="D27" s="364" t="s">
        <v>760</v>
      </c>
      <c r="E27" s="364" t="s">
        <v>321</v>
      </c>
      <c r="F27" s="364">
        <v>2</v>
      </c>
      <c r="G27" s="364" t="s">
        <v>1214</v>
      </c>
      <c r="H27" s="364" t="s">
        <v>797</v>
      </c>
      <c r="I27" s="7">
        <v>3</v>
      </c>
      <c r="J27" s="364">
        <v>201901</v>
      </c>
      <c r="K27" s="364">
        <v>999999</v>
      </c>
      <c r="L27" s="364">
        <v>0</v>
      </c>
      <c r="M27" s="364">
        <v>0</v>
      </c>
      <c r="N27" s="364">
        <v>6685.65</v>
      </c>
      <c r="O27" s="364">
        <v>35</v>
      </c>
      <c r="P27" s="364">
        <v>35</v>
      </c>
      <c r="Q27" s="364">
        <v>0</v>
      </c>
      <c r="R27" s="364">
        <v>20190930</v>
      </c>
    </row>
    <row r="28" spans="2:18" x14ac:dyDescent="0.25">
      <c r="B28" s="364">
        <v>1</v>
      </c>
      <c r="C28" s="364" t="s">
        <v>318</v>
      </c>
      <c r="D28" s="364" t="s">
        <v>846</v>
      </c>
      <c r="E28" s="364" t="s">
        <v>321</v>
      </c>
      <c r="F28" s="364">
        <v>2</v>
      </c>
      <c r="G28" s="364" t="s">
        <v>1214</v>
      </c>
      <c r="H28" s="364" t="s">
        <v>318</v>
      </c>
      <c r="I28" s="7" t="s">
        <v>320</v>
      </c>
      <c r="J28" s="364">
        <v>201901</v>
      </c>
      <c r="K28" s="364">
        <v>999999</v>
      </c>
      <c r="L28" s="364">
        <v>0</v>
      </c>
      <c r="M28" s="364">
        <v>0</v>
      </c>
      <c r="N28" s="364">
        <v>5164.5</v>
      </c>
      <c r="O28" s="364">
        <v>35</v>
      </c>
      <c r="P28" s="364">
        <v>35</v>
      </c>
      <c r="Q28" s="364">
        <v>0</v>
      </c>
      <c r="R28" s="364">
        <v>20190930</v>
      </c>
    </row>
    <row r="29" spans="2:18" x14ac:dyDescent="0.25">
      <c r="B29" s="364">
        <v>1</v>
      </c>
      <c r="C29" s="364" t="s">
        <v>318</v>
      </c>
      <c r="D29" s="364" t="s">
        <v>1520</v>
      </c>
      <c r="E29" s="364" t="s">
        <v>321</v>
      </c>
      <c r="F29" s="364">
        <v>2</v>
      </c>
      <c r="G29" s="364" t="s">
        <v>1214</v>
      </c>
      <c r="H29" s="364" t="s">
        <v>318</v>
      </c>
      <c r="I29" s="7" t="s">
        <v>320</v>
      </c>
      <c r="J29" s="364">
        <v>201901</v>
      </c>
      <c r="K29" s="364">
        <v>999999</v>
      </c>
      <c r="L29" s="364">
        <v>0</v>
      </c>
      <c r="M29" s="364">
        <v>0</v>
      </c>
      <c r="N29" s="364">
        <v>4190.8999999999996</v>
      </c>
      <c r="O29" s="364">
        <v>35</v>
      </c>
      <c r="P29" s="364">
        <v>35</v>
      </c>
      <c r="Q29" s="364">
        <v>0</v>
      </c>
      <c r="R29" s="364">
        <v>20190930</v>
      </c>
    </row>
    <row r="30" spans="2:18" x14ac:dyDescent="0.25">
      <c r="B30" s="364">
        <v>1</v>
      </c>
      <c r="C30" s="364" t="s">
        <v>318</v>
      </c>
      <c r="D30" s="364" t="s">
        <v>1393</v>
      </c>
      <c r="E30" s="364" t="s">
        <v>321</v>
      </c>
      <c r="F30" s="364">
        <v>2</v>
      </c>
      <c r="G30" s="364" t="s">
        <v>1214</v>
      </c>
      <c r="H30" s="364" t="s">
        <v>318</v>
      </c>
      <c r="I30" s="7" t="s">
        <v>320</v>
      </c>
      <c r="J30" s="364">
        <v>201901</v>
      </c>
      <c r="K30" s="364">
        <v>999999</v>
      </c>
      <c r="L30" s="364">
        <v>0</v>
      </c>
      <c r="M30" s="364">
        <v>0</v>
      </c>
      <c r="N30" s="364">
        <v>4328.8500000000004</v>
      </c>
      <c r="O30" s="364">
        <v>35</v>
      </c>
      <c r="P30" s="364">
        <v>35</v>
      </c>
      <c r="Q30" s="364">
        <v>0</v>
      </c>
      <c r="R30" s="364">
        <v>20190930</v>
      </c>
    </row>
    <row r="31" spans="2:18" x14ac:dyDescent="0.25">
      <c r="B31" s="364">
        <v>1</v>
      </c>
      <c r="C31" s="364" t="s">
        <v>762</v>
      </c>
      <c r="D31" s="364" t="s">
        <v>1380</v>
      </c>
      <c r="E31" s="364" t="s">
        <v>321</v>
      </c>
      <c r="F31" s="364">
        <v>2</v>
      </c>
      <c r="G31" s="364" t="s">
        <v>1214</v>
      </c>
      <c r="H31" s="364" t="s">
        <v>762</v>
      </c>
      <c r="I31" s="7">
        <v>2</v>
      </c>
      <c r="J31" s="364">
        <v>201901</v>
      </c>
      <c r="K31" s="364">
        <v>999999</v>
      </c>
      <c r="L31" s="364">
        <v>0</v>
      </c>
      <c r="M31" s="364">
        <v>0</v>
      </c>
      <c r="N31" s="364">
        <v>6511.95</v>
      </c>
      <c r="O31" s="364">
        <v>35</v>
      </c>
      <c r="P31" s="364">
        <v>35</v>
      </c>
      <c r="Q31" s="364">
        <v>0</v>
      </c>
      <c r="R31" s="364">
        <v>20190930</v>
      </c>
    </row>
    <row r="32" spans="2:18" x14ac:dyDescent="0.25">
      <c r="B32" s="364">
        <v>1</v>
      </c>
      <c r="C32" s="364" t="s">
        <v>757</v>
      </c>
      <c r="D32" s="364" t="s">
        <v>756</v>
      </c>
      <c r="E32" s="364" t="s">
        <v>321</v>
      </c>
      <c r="F32" s="364">
        <v>2</v>
      </c>
      <c r="G32" s="364" t="s">
        <v>1214</v>
      </c>
      <c r="H32" s="364" t="s">
        <v>757</v>
      </c>
      <c r="I32" s="7">
        <v>2</v>
      </c>
      <c r="J32" s="364">
        <v>201901</v>
      </c>
      <c r="K32" s="364">
        <v>999999</v>
      </c>
      <c r="L32" s="364">
        <v>0</v>
      </c>
      <c r="M32" s="364">
        <v>0</v>
      </c>
      <c r="N32" s="364">
        <v>6511.95</v>
      </c>
      <c r="O32" s="364">
        <v>35</v>
      </c>
      <c r="P32" s="364">
        <v>35</v>
      </c>
      <c r="Q32" s="364">
        <v>0</v>
      </c>
      <c r="R32" s="364">
        <v>20190930</v>
      </c>
    </row>
    <row r="33" spans="2:18" x14ac:dyDescent="0.25">
      <c r="B33" s="364">
        <v>1</v>
      </c>
      <c r="C33" s="364" t="s">
        <v>764</v>
      </c>
      <c r="D33" s="364" t="s">
        <v>763</v>
      </c>
      <c r="E33" s="364" t="s">
        <v>321</v>
      </c>
      <c r="F33" s="364">
        <v>2</v>
      </c>
      <c r="G33" s="364" t="s">
        <v>1214</v>
      </c>
      <c r="H33" s="364" t="s">
        <v>764</v>
      </c>
      <c r="I33" s="7">
        <v>2</v>
      </c>
      <c r="J33" s="364">
        <v>201901</v>
      </c>
      <c r="K33" s="364">
        <v>999999</v>
      </c>
      <c r="L33" s="364">
        <v>0</v>
      </c>
      <c r="M33" s="364">
        <v>0</v>
      </c>
      <c r="N33" s="364">
        <v>6511.95</v>
      </c>
      <c r="O33" s="364">
        <v>35</v>
      </c>
      <c r="P33" s="364">
        <v>35</v>
      </c>
      <c r="Q33" s="364">
        <v>0</v>
      </c>
      <c r="R33" s="364">
        <v>20190930</v>
      </c>
    </row>
    <row r="34" spans="2:18" x14ac:dyDescent="0.25">
      <c r="B34" s="364">
        <v>1</v>
      </c>
      <c r="C34" s="364" t="s">
        <v>317</v>
      </c>
      <c r="D34" s="364" t="s">
        <v>316</v>
      </c>
      <c r="E34" s="364" t="s">
        <v>321</v>
      </c>
      <c r="F34" s="364">
        <v>2</v>
      </c>
      <c r="G34" s="364" t="s">
        <v>1214</v>
      </c>
      <c r="H34" s="364" t="s">
        <v>317</v>
      </c>
      <c r="I34" s="7">
        <v>7</v>
      </c>
      <c r="J34" s="364">
        <v>201901</v>
      </c>
      <c r="K34" s="364">
        <v>999999</v>
      </c>
      <c r="L34" s="364">
        <v>0</v>
      </c>
      <c r="M34" s="364">
        <v>0</v>
      </c>
      <c r="N34" s="364">
        <v>7293.35</v>
      </c>
      <c r="O34" s="364">
        <v>35</v>
      </c>
      <c r="P34" s="364">
        <v>35</v>
      </c>
      <c r="Q34" s="364">
        <v>0</v>
      </c>
      <c r="R34" s="364">
        <v>20190930</v>
      </c>
    </row>
    <row r="35" spans="2:18" x14ac:dyDescent="0.25">
      <c r="B35" s="364">
        <v>1</v>
      </c>
      <c r="C35" s="364" t="s">
        <v>772</v>
      </c>
      <c r="D35" s="364" t="s">
        <v>908</v>
      </c>
      <c r="E35" s="364" t="s">
        <v>321</v>
      </c>
      <c r="F35" s="364">
        <v>2</v>
      </c>
      <c r="G35" s="364" t="s">
        <v>1214</v>
      </c>
      <c r="H35" s="364" t="s">
        <v>772</v>
      </c>
      <c r="I35" s="7">
        <v>7</v>
      </c>
      <c r="J35" s="364">
        <v>201901</v>
      </c>
      <c r="K35" s="364">
        <v>999999</v>
      </c>
      <c r="L35" s="364">
        <v>0</v>
      </c>
      <c r="M35" s="364">
        <v>0</v>
      </c>
      <c r="N35" s="364">
        <v>7293.35</v>
      </c>
      <c r="O35" s="364">
        <v>35</v>
      </c>
      <c r="P35" s="364">
        <v>35</v>
      </c>
      <c r="Q35" s="364">
        <v>0</v>
      </c>
      <c r="R35" s="364">
        <v>20190930</v>
      </c>
    </row>
    <row r="36" spans="2:18" x14ac:dyDescent="0.25">
      <c r="B36" s="163" t="s">
        <v>1402</v>
      </c>
      <c r="C36" s="379">
        <f>SUM(Tabla16[Identificador origen presupuestal de la plaza])</f>
        <v>17</v>
      </c>
      <c r="D36" s="165"/>
      <c r="E36" s="164"/>
      <c r="F36" s="164"/>
      <c r="G36" s="164"/>
      <c r="H36" s="164"/>
      <c r="I36" s="164"/>
      <c r="K36" s="171" t="s">
        <v>194</v>
      </c>
      <c r="L36" s="273">
        <f>SUBTOTAL(109,Tabla16[Monto Mensual Jornada ó de HSM
Zona A])</f>
        <v>0</v>
      </c>
      <c r="M36" s="228"/>
      <c r="N36" s="228"/>
      <c r="O36" s="164"/>
      <c r="P36" s="164"/>
      <c r="Q36" s="164"/>
      <c r="R36" s="166"/>
    </row>
    <row r="37" spans="2:18" x14ac:dyDescent="0.25">
      <c r="B37" s="167"/>
      <c r="C37" s="78"/>
      <c r="D37" s="80"/>
      <c r="E37" s="78"/>
      <c r="F37" s="78"/>
      <c r="G37" s="78"/>
      <c r="H37" s="78"/>
      <c r="I37" s="78"/>
      <c r="L37" s="172" t="s">
        <v>195</v>
      </c>
      <c r="M37" s="273">
        <f>SUM(M19:M36)</f>
        <v>0</v>
      </c>
      <c r="N37" s="229"/>
      <c r="O37" s="78"/>
      <c r="P37" s="78"/>
      <c r="Q37" s="78"/>
      <c r="R37" s="168"/>
    </row>
    <row r="38" spans="2:18" x14ac:dyDescent="0.25">
      <c r="B38" s="167"/>
      <c r="C38" s="78"/>
      <c r="D38" s="80"/>
      <c r="E38" s="78"/>
      <c r="F38" s="78"/>
      <c r="G38" s="78"/>
      <c r="H38" s="78"/>
      <c r="I38" s="78"/>
      <c r="M38" s="172" t="s">
        <v>196</v>
      </c>
      <c r="N38" s="273">
        <f>SUM(N19:N37)</f>
        <v>115792.16</v>
      </c>
      <c r="O38" s="78"/>
      <c r="P38" s="78"/>
      <c r="Q38" s="78"/>
      <c r="R38" s="168"/>
    </row>
    <row r="39" spans="2:18" x14ac:dyDescent="0.25">
      <c r="B39" s="169"/>
      <c r="C39" s="79"/>
      <c r="D39" s="81"/>
      <c r="E39" s="79"/>
      <c r="F39" s="79"/>
      <c r="G39" s="79"/>
      <c r="H39" s="79"/>
      <c r="I39" s="79"/>
      <c r="J39" s="79"/>
      <c r="K39" s="79"/>
      <c r="L39" s="227"/>
      <c r="M39" s="227"/>
      <c r="N39" s="227"/>
      <c r="O39" s="79"/>
      <c r="P39" s="79"/>
      <c r="Q39" s="79"/>
      <c r="R39" s="170"/>
    </row>
    <row r="40" spans="2:18" x14ac:dyDescent="0.25">
      <c r="B40" s="47" t="s">
        <v>152</v>
      </c>
      <c r="C40" s="48"/>
      <c r="D40" s="48"/>
      <c r="E40" s="222"/>
      <c r="F40" s="48"/>
      <c r="G40" s="49"/>
      <c r="H40" s="48"/>
      <c r="I40" s="48"/>
      <c r="J40" s="48"/>
      <c r="K40" s="48"/>
      <c r="L40" s="48"/>
      <c r="M40" s="48"/>
      <c r="N40" s="48"/>
      <c r="O40" s="48"/>
      <c r="P40" s="48"/>
      <c r="Q40" s="48"/>
      <c r="R40" s="48"/>
    </row>
    <row r="41" spans="2:18" x14ac:dyDescent="0.25">
      <c r="B41" s="48"/>
      <c r="C41" s="48"/>
      <c r="D41" s="48"/>
      <c r="E41" s="48"/>
      <c r="F41" s="48"/>
      <c r="G41" s="49"/>
      <c r="H41" s="48"/>
      <c r="I41" s="48"/>
      <c r="J41" s="48"/>
      <c r="K41" s="48"/>
      <c r="L41" s="48"/>
      <c r="M41" s="48"/>
      <c r="N41" s="48"/>
      <c r="O41" s="48"/>
      <c r="P41" s="48"/>
      <c r="Q41" s="48"/>
      <c r="R41" s="48"/>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disablePrompts="1" count="1">
    <dataValidation allowBlank="1" showInputMessage="1" showErrorMessage="1" sqref="Q12 B12:J12"/>
  </dataValidations>
  <printOptions horizontalCentered="1"/>
  <pageMargins left="0.23622047244094491" right="0.23622047244094491" top="0.15748031496062992" bottom="1.5748031496062993" header="0" footer="0"/>
  <pageSetup paperSize="14" scale="5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91"/>
  <sheetViews>
    <sheetView showGridLines="0" view="pageLayout" topLeftCell="A22" zoomScale="90" zoomScaleNormal="80" zoomScalePageLayoutView="90" workbookViewId="0">
      <selection activeCell="F79" sqref="F79"/>
    </sheetView>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1" t="s">
        <v>151</v>
      </c>
      <c r="C9" s="42"/>
      <c r="D9" s="42"/>
      <c r="E9" s="42"/>
      <c r="F9" s="42"/>
      <c r="G9" s="42"/>
      <c r="H9" s="42"/>
      <c r="I9" s="264" t="s">
        <v>135</v>
      </c>
      <c r="J9" s="459" t="str">
        <f>'A Y  II D3'!X9</f>
        <v>GUANAJUATO</v>
      </c>
      <c r="K9" s="460"/>
    </row>
    <row r="10" spans="2:11" ht="18.75" x14ac:dyDescent="0.3">
      <c r="B10" s="418" t="str">
        <f>'A Y  II D3'!B10:N10</f>
        <v>Fondo de Aportaciones para la Educación Tecnológica y de Adultos/Instituto Nacional para la Educación de los Adultos (FAETA/INEA)</v>
      </c>
      <c r="C10" s="419"/>
      <c r="D10" s="419"/>
      <c r="E10" s="419"/>
      <c r="F10" s="419"/>
      <c r="G10" s="419"/>
      <c r="H10" s="419"/>
      <c r="I10" s="259"/>
      <c r="J10" s="262"/>
      <c r="K10" s="365" t="str">
        <f>'A Y  II D3'!X10</f>
        <v>3er. Trimestre 2019</v>
      </c>
    </row>
    <row r="11" spans="2:11" x14ac:dyDescent="0.25">
      <c r="B11" s="37"/>
      <c r="C11" s="38"/>
      <c r="D11" s="38"/>
      <c r="E11" s="38"/>
      <c r="F11" s="38"/>
      <c r="G11" s="38"/>
      <c r="H11" s="38"/>
      <c r="I11" s="38"/>
      <c r="J11" s="38"/>
      <c r="K11" s="46"/>
    </row>
    <row r="12" spans="2:11" ht="5.0999999999999996" customHeight="1" x14ac:dyDescent="0.25"/>
    <row r="13" spans="2:11" ht="68.25" customHeight="1" x14ac:dyDescent="0.25">
      <c r="B13" s="288" t="s">
        <v>19</v>
      </c>
      <c r="C13" s="288" t="s">
        <v>101</v>
      </c>
      <c r="D13" s="288" t="s">
        <v>102</v>
      </c>
      <c r="E13" s="288" t="s">
        <v>103</v>
      </c>
      <c r="F13" s="288" t="s">
        <v>104</v>
      </c>
      <c r="G13" s="288" t="s">
        <v>87</v>
      </c>
      <c r="H13" s="288" t="s">
        <v>105</v>
      </c>
      <c r="I13" s="288" t="s">
        <v>106</v>
      </c>
      <c r="J13" s="288" t="s">
        <v>16</v>
      </c>
      <c r="K13" s="288" t="s">
        <v>107</v>
      </c>
    </row>
    <row r="14" spans="2:11" ht="5.0999999999999996" customHeight="1" x14ac:dyDescent="0.25"/>
    <row r="15" spans="2:11" ht="75" hidden="1" x14ac:dyDescent="0.25">
      <c r="B15" s="199" t="s">
        <v>19</v>
      </c>
      <c r="C15" s="199" t="s">
        <v>101</v>
      </c>
      <c r="D15" s="199" t="s">
        <v>102</v>
      </c>
      <c r="E15" s="199" t="s">
        <v>103</v>
      </c>
      <c r="F15" s="199" t="s">
        <v>104</v>
      </c>
      <c r="G15" s="199" t="s">
        <v>87</v>
      </c>
      <c r="H15" s="199" t="s">
        <v>105</v>
      </c>
      <c r="I15" s="199" t="s">
        <v>106</v>
      </c>
      <c r="J15" s="199" t="s">
        <v>16</v>
      </c>
      <c r="K15" s="199" t="s">
        <v>107</v>
      </c>
    </row>
    <row r="16" spans="2:11" s="254" customFormat="1" x14ac:dyDescent="0.25">
      <c r="B16" s="364">
        <v>1</v>
      </c>
      <c r="C16" s="364" t="s">
        <v>321</v>
      </c>
      <c r="D16" s="364" t="s">
        <v>324</v>
      </c>
      <c r="E16" s="364">
        <v>100</v>
      </c>
      <c r="F16" s="364" t="s">
        <v>325</v>
      </c>
      <c r="G16" s="364" t="s">
        <v>1341</v>
      </c>
      <c r="H16" s="364" t="s">
        <v>1342</v>
      </c>
      <c r="I16" s="364">
        <v>83101</v>
      </c>
      <c r="J16" s="364">
        <v>20170101</v>
      </c>
      <c r="K16" s="364">
        <v>20190930</v>
      </c>
    </row>
    <row r="17" spans="2:11" x14ac:dyDescent="0.25">
      <c r="B17" s="364">
        <v>1</v>
      </c>
      <c r="C17" s="364" t="s">
        <v>321</v>
      </c>
      <c r="D17" s="364" t="s">
        <v>324</v>
      </c>
      <c r="E17" s="364">
        <v>100</v>
      </c>
      <c r="F17" s="364" t="s">
        <v>325</v>
      </c>
      <c r="G17" s="364" t="s">
        <v>1343</v>
      </c>
      <c r="H17" s="364" t="s">
        <v>780</v>
      </c>
      <c r="I17" s="364">
        <v>83101</v>
      </c>
      <c r="J17" s="364">
        <v>20170101</v>
      </c>
      <c r="K17" s="364">
        <v>20190930</v>
      </c>
    </row>
    <row r="18" spans="2:11" x14ac:dyDescent="0.25">
      <c r="B18" s="364">
        <v>1</v>
      </c>
      <c r="C18" s="364" t="s">
        <v>321</v>
      </c>
      <c r="D18" s="364" t="s">
        <v>324</v>
      </c>
      <c r="E18" s="364">
        <v>100</v>
      </c>
      <c r="F18" s="364" t="s">
        <v>325</v>
      </c>
      <c r="G18" s="364" t="s">
        <v>1344</v>
      </c>
      <c r="H18" s="364" t="s">
        <v>781</v>
      </c>
      <c r="I18" s="364">
        <v>83101</v>
      </c>
      <c r="J18" s="364">
        <v>20170101</v>
      </c>
      <c r="K18" s="364">
        <v>20190930</v>
      </c>
    </row>
    <row r="19" spans="2:11" x14ac:dyDescent="0.25">
      <c r="B19" s="364">
        <v>1</v>
      </c>
      <c r="C19" s="364" t="s">
        <v>321</v>
      </c>
      <c r="D19" s="364" t="s">
        <v>324</v>
      </c>
      <c r="E19" s="364">
        <v>100</v>
      </c>
      <c r="F19" s="364" t="s">
        <v>325</v>
      </c>
      <c r="G19" s="364" t="s">
        <v>1345</v>
      </c>
      <c r="H19" s="364" t="s">
        <v>1346</v>
      </c>
      <c r="I19" s="364">
        <v>83101</v>
      </c>
      <c r="J19" s="364">
        <v>20170101</v>
      </c>
      <c r="K19" s="364">
        <v>20190930</v>
      </c>
    </row>
    <row r="20" spans="2:11" x14ac:dyDescent="0.25">
      <c r="B20" s="364">
        <v>1</v>
      </c>
      <c r="C20" s="364" t="s">
        <v>321</v>
      </c>
      <c r="D20" s="364" t="s">
        <v>324</v>
      </c>
      <c r="E20" s="364">
        <v>100</v>
      </c>
      <c r="F20" s="364" t="s">
        <v>325</v>
      </c>
      <c r="G20" s="364" t="s">
        <v>1347</v>
      </c>
      <c r="H20" s="364" t="s">
        <v>1348</v>
      </c>
      <c r="I20" s="364">
        <v>83101</v>
      </c>
      <c r="J20" s="364">
        <v>20170101</v>
      </c>
      <c r="K20" s="364">
        <v>20190930</v>
      </c>
    </row>
    <row r="21" spans="2:11" x14ac:dyDescent="0.25">
      <c r="B21" s="364">
        <v>1</v>
      </c>
      <c r="C21" s="364" t="s">
        <v>321</v>
      </c>
      <c r="D21" s="364" t="s">
        <v>324</v>
      </c>
      <c r="E21" s="364">
        <v>100</v>
      </c>
      <c r="F21" s="364" t="s">
        <v>325</v>
      </c>
      <c r="G21" s="364" t="s">
        <v>1349</v>
      </c>
      <c r="H21" s="364" t="s">
        <v>1350</v>
      </c>
      <c r="I21" s="364">
        <v>83101</v>
      </c>
      <c r="J21" s="364">
        <v>20170101</v>
      </c>
      <c r="K21" s="364">
        <v>20190930</v>
      </c>
    </row>
    <row r="22" spans="2:11" x14ac:dyDescent="0.25">
      <c r="B22" s="364">
        <v>1</v>
      </c>
      <c r="C22" s="364" t="s">
        <v>321</v>
      </c>
      <c r="D22" s="364" t="s">
        <v>324</v>
      </c>
      <c r="E22" s="364">
        <v>100</v>
      </c>
      <c r="F22" s="364" t="s">
        <v>325</v>
      </c>
      <c r="G22" s="364" t="s">
        <v>1351</v>
      </c>
      <c r="H22" s="364" t="s">
        <v>784</v>
      </c>
      <c r="I22" s="364">
        <v>83101</v>
      </c>
      <c r="J22" s="364">
        <v>20170101</v>
      </c>
      <c r="K22" s="364">
        <v>20190930</v>
      </c>
    </row>
    <row r="23" spans="2:11" x14ac:dyDescent="0.25">
      <c r="B23" s="364">
        <v>1</v>
      </c>
      <c r="C23" s="364" t="s">
        <v>321</v>
      </c>
      <c r="D23" s="364" t="s">
        <v>324</v>
      </c>
      <c r="E23" s="364">
        <v>100</v>
      </c>
      <c r="F23" s="364" t="s">
        <v>325</v>
      </c>
      <c r="G23" s="364" t="s">
        <v>1352</v>
      </c>
      <c r="H23" s="364" t="s">
        <v>1418</v>
      </c>
      <c r="I23" s="364">
        <v>83101</v>
      </c>
      <c r="J23" s="364">
        <v>20170101</v>
      </c>
      <c r="K23" s="364">
        <v>20190930</v>
      </c>
    </row>
    <row r="24" spans="2:11" x14ac:dyDescent="0.25">
      <c r="B24" s="364">
        <v>1</v>
      </c>
      <c r="C24" s="364" t="s">
        <v>321</v>
      </c>
      <c r="D24" s="364" t="s">
        <v>324</v>
      </c>
      <c r="E24" s="364">
        <v>100</v>
      </c>
      <c r="F24" s="364" t="s">
        <v>325</v>
      </c>
      <c r="G24" s="364" t="s">
        <v>1353</v>
      </c>
      <c r="H24" s="364" t="s">
        <v>1560</v>
      </c>
      <c r="I24" s="364">
        <v>83101</v>
      </c>
      <c r="J24" s="364">
        <v>20170101</v>
      </c>
      <c r="K24" s="364">
        <v>20190930</v>
      </c>
    </row>
    <row r="25" spans="2:11" x14ac:dyDescent="0.25">
      <c r="B25" s="364">
        <v>1</v>
      </c>
      <c r="C25" s="364" t="s">
        <v>321</v>
      </c>
      <c r="D25" s="364" t="s">
        <v>324</v>
      </c>
      <c r="E25" s="364">
        <v>100</v>
      </c>
      <c r="F25" s="364" t="s">
        <v>325</v>
      </c>
      <c r="G25" s="364" t="s">
        <v>1185</v>
      </c>
      <c r="H25" s="364" t="s">
        <v>1186</v>
      </c>
      <c r="I25" s="364">
        <v>83101</v>
      </c>
      <c r="J25" s="364">
        <v>20170101</v>
      </c>
      <c r="K25" s="364">
        <v>20190930</v>
      </c>
    </row>
    <row r="26" spans="2:11" x14ac:dyDescent="0.25">
      <c r="B26" s="364">
        <v>1</v>
      </c>
      <c r="C26" s="364" t="s">
        <v>321</v>
      </c>
      <c r="D26" s="364" t="s">
        <v>324</v>
      </c>
      <c r="E26" s="364">
        <v>100</v>
      </c>
      <c r="F26" s="364" t="s">
        <v>325</v>
      </c>
      <c r="G26" s="364" t="s">
        <v>1187</v>
      </c>
      <c r="H26" s="364" t="s">
        <v>1400</v>
      </c>
      <c r="I26" s="364">
        <v>83101</v>
      </c>
      <c r="J26" s="364">
        <v>20170101</v>
      </c>
      <c r="K26" s="364">
        <v>20190930</v>
      </c>
    </row>
    <row r="27" spans="2:11" x14ac:dyDescent="0.25">
      <c r="B27" s="364">
        <v>1</v>
      </c>
      <c r="C27" s="364" t="s">
        <v>321</v>
      </c>
      <c r="D27" s="364" t="s">
        <v>324</v>
      </c>
      <c r="E27" s="364">
        <v>100</v>
      </c>
      <c r="F27" s="364" t="s">
        <v>325</v>
      </c>
      <c r="G27" s="364" t="s">
        <v>1188</v>
      </c>
      <c r="H27" s="364" t="s">
        <v>786</v>
      </c>
      <c r="I27" s="364">
        <v>83101</v>
      </c>
      <c r="J27" s="364">
        <v>20170101</v>
      </c>
      <c r="K27" s="364">
        <v>20190930</v>
      </c>
    </row>
    <row r="28" spans="2:11" x14ac:dyDescent="0.25">
      <c r="B28" s="364">
        <v>1</v>
      </c>
      <c r="C28" s="364" t="s">
        <v>321</v>
      </c>
      <c r="D28" s="364" t="s">
        <v>324</v>
      </c>
      <c r="E28" s="364">
        <v>100</v>
      </c>
      <c r="F28" s="364" t="s">
        <v>325</v>
      </c>
      <c r="G28" s="364" t="s">
        <v>1189</v>
      </c>
      <c r="H28" s="364" t="s">
        <v>1190</v>
      </c>
      <c r="I28" s="364">
        <v>83101</v>
      </c>
      <c r="J28" s="364">
        <v>20170101</v>
      </c>
      <c r="K28" s="364">
        <v>20190930</v>
      </c>
    </row>
    <row r="29" spans="2:11" x14ac:dyDescent="0.25">
      <c r="B29" s="364">
        <v>1</v>
      </c>
      <c r="C29" s="364" t="s">
        <v>321</v>
      </c>
      <c r="D29" s="364" t="s">
        <v>324</v>
      </c>
      <c r="E29" s="364">
        <v>100</v>
      </c>
      <c r="F29" s="364" t="s">
        <v>325</v>
      </c>
      <c r="G29" s="364" t="s">
        <v>1191</v>
      </c>
      <c r="H29" s="364" t="s">
        <v>1192</v>
      </c>
      <c r="I29" s="364">
        <v>83101</v>
      </c>
      <c r="J29" s="364">
        <v>20170101</v>
      </c>
      <c r="K29" s="364">
        <v>20190930</v>
      </c>
    </row>
    <row r="30" spans="2:11" x14ac:dyDescent="0.25">
      <c r="B30" s="364">
        <v>1</v>
      </c>
      <c r="C30" s="364" t="s">
        <v>321</v>
      </c>
      <c r="D30" s="364" t="s">
        <v>324</v>
      </c>
      <c r="E30" s="364">
        <v>100</v>
      </c>
      <c r="F30" s="364" t="s">
        <v>325</v>
      </c>
      <c r="G30" s="364" t="s">
        <v>1193</v>
      </c>
      <c r="H30" s="364" t="s">
        <v>1194</v>
      </c>
      <c r="I30" s="364">
        <v>83101</v>
      </c>
      <c r="J30" s="364">
        <v>20170101</v>
      </c>
      <c r="K30" s="364">
        <v>20190930</v>
      </c>
    </row>
    <row r="31" spans="2:11" x14ac:dyDescent="0.25">
      <c r="B31" s="364">
        <v>1</v>
      </c>
      <c r="C31" s="364" t="s">
        <v>321</v>
      </c>
      <c r="D31" s="364" t="s">
        <v>324</v>
      </c>
      <c r="E31" s="364">
        <v>100</v>
      </c>
      <c r="F31" s="364" t="s">
        <v>325</v>
      </c>
      <c r="G31" s="364" t="s">
        <v>1394</v>
      </c>
      <c r="H31" s="364" t="s">
        <v>1395</v>
      </c>
      <c r="I31" s="364">
        <v>83101</v>
      </c>
      <c r="J31" s="364">
        <v>20170101</v>
      </c>
      <c r="K31" s="364">
        <v>20190930</v>
      </c>
    </row>
    <row r="32" spans="2:11" x14ac:dyDescent="0.25">
      <c r="B32" s="364">
        <v>1</v>
      </c>
      <c r="C32" s="364" t="s">
        <v>321</v>
      </c>
      <c r="D32" s="364" t="s">
        <v>324</v>
      </c>
      <c r="E32" s="364">
        <v>100</v>
      </c>
      <c r="F32" s="364" t="s">
        <v>325</v>
      </c>
      <c r="G32" s="364" t="s">
        <v>1419</v>
      </c>
      <c r="H32" s="364" t="s">
        <v>1245</v>
      </c>
      <c r="I32" s="364">
        <v>83101</v>
      </c>
      <c r="J32" s="364">
        <v>20170101</v>
      </c>
      <c r="K32" s="364">
        <v>20190930</v>
      </c>
    </row>
    <row r="33" spans="2:11" x14ac:dyDescent="0.25">
      <c r="B33" s="364">
        <v>1</v>
      </c>
      <c r="C33" s="364" t="s">
        <v>321</v>
      </c>
      <c r="D33" s="364" t="s">
        <v>324</v>
      </c>
      <c r="E33" s="364">
        <v>100</v>
      </c>
      <c r="F33" s="364" t="s">
        <v>325</v>
      </c>
      <c r="G33" s="364" t="s">
        <v>1420</v>
      </c>
      <c r="H33" s="364" t="s">
        <v>1421</v>
      </c>
      <c r="I33" s="364">
        <v>83101</v>
      </c>
      <c r="J33" s="364">
        <v>20170101</v>
      </c>
      <c r="K33" s="364">
        <v>20190930</v>
      </c>
    </row>
    <row r="34" spans="2:11" x14ac:dyDescent="0.25">
      <c r="B34" s="364">
        <v>1</v>
      </c>
      <c r="C34" s="364" t="s">
        <v>321</v>
      </c>
      <c r="D34" s="364" t="s">
        <v>324</v>
      </c>
      <c r="E34" s="364">
        <v>100</v>
      </c>
      <c r="F34" s="364" t="s">
        <v>325</v>
      </c>
      <c r="G34" s="364" t="s">
        <v>1422</v>
      </c>
      <c r="H34" s="364" t="s">
        <v>1423</v>
      </c>
      <c r="I34" s="364">
        <v>83101</v>
      </c>
      <c r="J34" s="364">
        <v>20170101</v>
      </c>
      <c r="K34" s="364">
        <v>20190930</v>
      </c>
    </row>
    <row r="35" spans="2:11" x14ac:dyDescent="0.25">
      <c r="B35" s="364">
        <v>1</v>
      </c>
      <c r="C35" s="364" t="s">
        <v>321</v>
      </c>
      <c r="D35" s="364" t="s">
        <v>324</v>
      </c>
      <c r="E35" s="364">
        <v>100</v>
      </c>
      <c r="F35" s="364" t="s">
        <v>325</v>
      </c>
      <c r="G35" s="364" t="s">
        <v>1449</v>
      </c>
      <c r="H35" s="364" t="s">
        <v>1450</v>
      </c>
      <c r="I35" s="364">
        <v>83101</v>
      </c>
      <c r="J35" s="364">
        <v>20170101</v>
      </c>
      <c r="K35" s="364">
        <v>20190930</v>
      </c>
    </row>
    <row r="36" spans="2:11" x14ac:dyDescent="0.25">
      <c r="B36" s="364">
        <v>1</v>
      </c>
      <c r="C36" s="364" t="s">
        <v>321</v>
      </c>
      <c r="D36" s="364" t="s">
        <v>324</v>
      </c>
      <c r="E36" s="364">
        <v>100</v>
      </c>
      <c r="F36" s="364" t="s">
        <v>325</v>
      </c>
      <c r="G36" s="364" t="s">
        <v>1451</v>
      </c>
      <c r="H36" s="364" t="s">
        <v>1643</v>
      </c>
      <c r="I36" s="364">
        <v>83101</v>
      </c>
      <c r="J36" s="364">
        <v>20170101</v>
      </c>
      <c r="K36" s="364">
        <v>20190930</v>
      </c>
    </row>
    <row r="37" spans="2:11" x14ac:dyDescent="0.25">
      <c r="B37" s="364">
        <v>1</v>
      </c>
      <c r="C37" s="364" t="s">
        <v>321</v>
      </c>
      <c r="D37" s="364" t="s">
        <v>324</v>
      </c>
      <c r="E37" s="364">
        <v>100</v>
      </c>
      <c r="F37" s="364" t="s">
        <v>325</v>
      </c>
      <c r="G37" s="364" t="s">
        <v>1452</v>
      </c>
      <c r="H37" s="364" t="s">
        <v>1644</v>
      </c>
      <c r="I37" s="364">
        <v>83101</v>
      </c>
      <c r="J37" s="364">
        <v>20170101</v>
      </c>
      <c r="K37" s="364">
        <v>20190930</v>
      </c>
    </row>
    <row r="38" spans="2:11" x14ac:dyDescent="0.25">
      <c r="B38" s="364">
        <v>1</v>
      </c>
      <c r="C38" s="364" t="s">
        <v>321</v>
      </c>
      <c r="D38" s="364" t="s">
        <v>324</v>
      </c>
      <c r="E38" s="364">
        <v>100</v>
      </c>
      <c r="F38" s="364" t="s">
        <v>325</v>
      </c>
      <c r="G38" s="364" t="s">
        <v>1453</v>
      </c>
      <c r="H38" s="364" t="s">
        <v>1645</v>
      </c>
      <c r="I38" s="364">
        <v>83101</v>
      </c>
      <c r="J38" s="364">
        <v>20170101</v>
      </c>
      <c r="K38" s="364">
        <v>20190930</v>
      </c>
    </row>
    <row r="39" spans="2:11" x14ac:dyDescent="0.25">
      <c r="B39" s="364">
        <v>1</v>
      </c>
      <c r="C39" s="364" t="s">
        <v>321</v>
      </c>
      <c r="D39" s="364" t="s">
        <v>324</v>
      </c>
      <c r="E39" s="364">
        <v>100</v>
      </c>
      <c r="F39" s="364" t="s">
        <v>325</v>
      </c>
      <c r="G39" s="364" t="s">
        <v>1454</v>
      </c>
      <c r="H39" s="364" t="s">
        <v>1646</v>
      </c>
      <c r="I39" s="364">
        <v>83101</v>
      </c>
      <c r="J39" s="364">
        <v>20170101</v>
      </c>
      <c r="K39" s="364">
        <v>20190930</v>
      </c>
    </row>
    <row r="40" spans="2:11" x14ac:dyDescent="0.25">
      <c r="B40" s="364">
        <v>1</v>
      </c>
      <c r="C40" s="364" t="s">
        <v>321</v>
      </c>
      <c r="D40" s="364" t="s">
        <v>324</v>
      </c>
      <c r="E40" s="364">
        <v>100</v>
      </c>
      <c r="F40" s="364" t="s">
        <v>325</v>
      </c>
      <c r="G40" s="364" t="s">
        <v>1482</v>
      </c>
      <c r="H40" s="364" t="s">
        <v>1561</v>
      </c>
      <c r="I40" s="364">
        <v>83101</v>
      </c>
      <c r="J40" s="364">
        <v>20170101</v>
      </c>
      <c r="K40" s="364">
        <v>20190930</v>
      </c>
    </row>
    <row r="41" spans="2:11" x14ac:dyDescent="0.25">
      <c r="B41" s="364">
        <v>1</v>
      </c>
      <c r="C41" s="364" t="s">
        <v>321</v>
      </c>
      <c r="D41" s="364" t="s">
        <v>324</v>
      </c>
      <c r="E41" s="364">
        <v>100</v>
      </c>
      <c r="F41" s="364" t="s">
        <v>325</v>
      </c>
      <c r="G41" s="364" t="s">
        <v>1483</v>
      </c>
      <c r="H41" s="364" t="s">
        <v>1562</v>
      </c>
      <c r="I41" s="364">
        <v>83101</v>
      </c>
      <c r="J41" s="364">
        <v>20170101</v>
      </c>
      <c r="K41" s="364">
        <v>20190930</v>
      </c>
    </row>
    <row r="42" spans="2:11" x14ac:dyDescent="0.25">
      <c r="B42" s="364">
        <v>1</v>
      </c>
      <c r="C42" s="364" t="s">
        <v>321</v>
      </c>
      <c r="D42" s="364" t="s">
        <v>324</v>
      </c>
      <c r="E42" s="364">
        <v>100</v>
      </c>
      <c r="F42" s="364" t="s">
        <v>325</v>
      </c>
      <c r="G42" s="364" t="s">
        <v>1455</v>
      </c>
      <c r="H42" s="364" t="s">
        <v>1647</v>
      </c>
      <c r="I42" s="364">
        <v>83101</v>
      </c>
      <c r="J42" s="364">
        <v>20170101</v>
      </c>
      <c r="K42" s="364">
        <v>20190930</v>
      </c>
    </row>
    <row r="43" spans="2:11" x14ac:dyDescent="0.25">
      <c r="B43" s="364">
        <v>1</v>
      </c>
      <c r="C43" s="364" t="s">
        <v>321</v>
      </c>
      <c r="D43" s="364" t="s">
        <v>324</v>
      </c>
      <c r="E43" s="364">
        <v>100</v>
      </c>
      <c r="F43" s="364" t="s">
        <v>325</v>
      </c>
      <c r="G43" s="364" t="s">
        <v>1456</v>
      </c>
      <c r="H43" s="364" t="s">
        <v>1648</v>
      </c>
      <c r="I43" s="364">
        <v>83101</v>
      </c>
      <c r="J43" s="364">
        <v>20170101</v>
      </c>
      <c r="K43" s="364">
        <v>20190930</v>
      </c>
    </row>
    <row r="44" spans="2:11" x14ac:dyDescent="0.25">
      <c r="B44" s="364">
        <v>1</v>
      </c>
      <c r="C44" s="364" t="s">
        <v>321</v>
      </c>
      <c r="D44" s="364" t="s">
        <v>324</v>
      </c>
      <c r="E44" s="364">
        <v>100</v>
      </c>
      <c r="F44" s="364" t="s">
        <v>325</v>
      </c>
      <c r="G44" s="364" t="s">
        <v>1457</v>
      </c>
      <c r="H44" s="364" t="s">
        <v>1649</v>
      </c>
      <c r="I44" s="364">
        <v>83101</v>
      </c>
      <c r="J44" s="364">
        <v>20170101</v>
      </c>
      <c r="K44" s="364">
        <v>20190930</v>
      </c>
    </row>
    <row r="45" spans="2:11" x14ac:dyDescent="0.25">
      <c r="B45" s="364">
        <v>1</v>
      </c>
      <c r="C45" s="364" t="s">
        <v>321</v>
      </c>
      <c r="D45" s="364" t="s">
        <v>324</v>
      </c>
      <c r="E45" s="364">
        <v>100</v>
      </c>
      <c r="F45" s="364" t="s">
        <v>325</v>
      </c>
      <c r="G45" s="364" t="s">
        <v>1458</v>
      </c>
      <c r="H45" s="364" t="s">
        <v>1650</v>
      </c>
      <c r="I45" s="364">
        <v>83101</v>
      </c>
      <c r="J45" s="364">
        <v>20170101</v>
      </c>
      <c r="K45" s="364">
        <v>20190930</v>
      </c>
    </row>
    <row r="46" spans="2:11" x14ac:dyDescent="0.25">
      <c r="B46" s="364">
        <v>1</v>
      </c>
      <c r="C46" s="364" t="s">
        <v>321</v>
      </c>
      <c r="D46" s="364" t="s">
        <v>324</v>
      </c>
      <c r="E46" s="364">
        <v>100</v>
      </c>
      <c r="F46" s="364" t="s">
        <v>325</v>
      </c>
      <c r="G46" s="364" t="s">
        <v>1459</v>
      </c>
      <c r="H46" s="364" t="s">
        <v>1651</v>
      </c>
      <c r="I46" s="364">
        <v>83101</v>
      </c>
      <c r="J46" s="364">
        <v>20170101</v>
      </c>
      <c r="K46" s="364">
        <v>20190930</v>
      </c>
    </row>
    <row r="47" spans="2:11" x14ac:dyDescent="0.25">
      <c r="B47" s="364">
        <v>1</v>
      </c>
      <c r="C47" s="364" t="s">
        <v>321</v>
      </c>
      <c r="D47" s="364" t="s">
        <v>324</v>
      </c>
      <c r="E47" s="364">
        <v>100</v>
      </c>
      <c r="F47" s="364" t="s">
        <v>325</v>
      </c>
      <c r="G47" s="364" t="s">
        <v>1484</v>
      </c>
      <c r="H47" s="364" t="s">
        <v>1485</v>
      </c>
      <c r="I47" s="364">
        <v>83101</v>
      </c>
      <c r="J47" s="364">
        <v>20170101</v>
      </c>
      <c r="K47" s="364">
        <v>20190930</v>
      </c>
    </row>
    <row r="48" spans="2:11" x14ac:dyDescent="0.25">
      <c r="B48" s="364">
        <v>1</v>
      </c>
      <c r="C48" s="364" t="s">
        <v>321</v>
      </c>
      <c r="D48" s="364" t="s">
        <v>324</v>
      </c>
      <c r="E48" s="364">
        <v>100</v>
      </c>
      <c r="F48" s="364" t="s">
        <v>325</v>
      </c>
      <c r="G48" s="364" t="s">
        <v>1486</v>
      </c>
      <c r="H48" s="364" t="s">
        <v>1487</v>
      </c>
      <c r="I48" s="364">
        <v>83101</v>
      </c>
      <c r="J48" s="364">
        <v>20170101</v>
      </c>
      <c r="K48" s="364">
        <v>20190930</v>
      </c>
    </row>
    <row r="49" spans="2:11" x14ac:dyDescent="0.25">
      <c r="B49" s="364">
        <v>1</v>
      </c>
      <c r="C49" s="364" t="s">
        <v>321</v>
      </c>
      <c r="D49" s="364" t="s">
        <v>324</v>
      </c>
      <c r="E49" s="364">
        <v>100</v>
      </c>
      <c r="F49" s="364" t="s">
        <v>325</v>
      </c>
      <c r="G49" s="364" t="s">
        <v>1460</v>
      </c>
      <c r="H49" s="364" t="s">
        <v>1652</v>
      </c>
      <c r="I49" s="364">
        <v>83101</v>
      </c>
      <c r="J49" s="364">
        <v>20170101</v>
      </c>
      <c r="K49" s="364">
        <v>20190930</v>
      </c>
    </row>
    <row r="50" spans="2:11" x14ac:dyDescent="0.25">
      <c r="B50" s="364">
        <v>1</v>
      </c>
      <c r="C50" s="364" t="s">
        <v>321</v>
      </c>
      <c r="D50" s="364" t="s">
        <v>324</v>
      </c>
      <c r="E50" s="364">
        <v>100</v>
      </c>
      <c r="F50" s="364" t="s">
        <v>325</v>
      </c>
      <c r="G50" s="364" t="s">
        <v>1461</v>
      </c>
      <c r="H50" s="364" t="s">
        <v>1653</v>
      </c>
      <c r="I50" s="364">
        <v>83101</v>
      </c>
      <c r="J50" s="364">
        <v>20170101</v>
      </c>
      <c r="K50" s="364">
        <v>20190930</v>
      </c>
    </row>
    <row r="51" spans="2:11" x14ac:dyDescent="0.25">
      <c r="B51" s="364">
        <v>1</v>
      </c>
      <c r="C51" s="364" t="s">
        <v>321</v>
      </c>
      <c r="D51" s="364" t="s">
        <v>324</v>
      </c>
      <c r="E51" s="364">
        <v>100</v>
      </c>
      <c r="F51" s="364" t="s">
        <v>325</v>
      </c>
      <c r="G51" s="364" t="s">
        <v>1462</v>
      </c>
      <c r="H51" s="364" t="s">
        <v>1563</v>
      </c>
      <c r="I51" s="364">
        <v>83101</v>
      </c>
      <c r="J51" s="364">
        <v>20170101</v>
      </c>
      <c r="K51" s="364">
        <v>20190930</v>
      </c>
    </row>
    <row r="52" spans="2:11" x14ac:dyDescent="0.25">
      <c r="B52" s="364">
        <v>1</v>
      </c>
      <c r="C52" s="364" t="s">
        <v>321</v>
      </c>
      <c r="D52" s="364" t="s">
        <v>324</v>
      </c>
      <c r="E52" s="364">
        <v>100</v>
      </c>
      <c r="F52" s="364" t="s">
        <v>325</v>
      </c>
      <c r="G52" s="364" t="s">
        <v>1654</v>
      </c>
      <c r="H52" s="364" t="s">
        <v>1655</v>
      </c>
      <c r="I52" s="364">
        <v>83101</v>
      </c>
      <c r="J52" s="364">
        <v>20170101</v>
      </c>
      <c r="K52" s="364">
        <v>20190930</v>
      </c>
    </row>
    <row r="53" spans="2:11" x14ac:dyDescent="0.25">
      <c r="B53" s="364">
        <v>1</v>
      </c>
      <c r="C53" s="364" t="s">
        <v>321</v>
      </c>
      <c r="D53" s="364" t="s">
        <v>324</v>
      </c>
      <c r="E53" s="364">
        <v>100</v>
      </c>
      <c r="F53" s="364" t="s">
        <v>325</v>
      </c>
      <c r="G53" s="364" t="s">
        <v>1488</v>
      </c>
      <c r="H53" s="364" t="s">
        <v>1564</v>
      </c>
      <c r="I53" s="364">
        <v>83101</v>
      </c>
      <c r="J53" s="364">
        <v>20170101</v>
      </c>
      <c r="K53" s="364">
        <v>20190930</v>
      </c>
    </row>
    <row r="54" spans="2:11" x14ac:dyDescent="0.25">
      <c r="B54" s="364">
        <v>1</v>
      </c>
      <c r="C54" s="364" t="s">
        <v>321</v>
      </c>
      <c r="D54" s="364" t="s">
        <v>324</v>
      </c>
      <c r="E54" s="364">
        <v>100</v>
      </c>
      <c r="F54" s="364" t="s">
        <v>325</v>
      </c>
      <c r="G54" s="364" t="s">
        <v>1195</v>
      </c>
      <c r="H54" s="364" t="s">
        <v>782</v>
      </c>
      <c r="I54" s="364">
        <v>83101</v>
      </c>
      <c r="J54" s="364">
        <v>20170101</v>
      </c>
      <c r="K54" s="364">
        <v>20190930</v>
      </c>
    </row>
    <row r="55" spans="2:11" x14ac:dyDescent="0.25">
      <c r="B55" s="364">
        <v>1</v>
      </c>
      <c r="C55" s="364" t="s">
        <v>321</v>
      </c>
      <c r="D55" s="364" t="s">
        <v>324</v>
      </c>
      <c r="E55" s="364">
        <v>100</v>
      </c>
      <c r="F55" s="364" t="s">
        <v>325</v>
      </c>
      <c r="G55" s="364" t="s">
        <v>1196</v>
      </c>
      <c r="H55" s="364" t="s">
        <v>1197</v>
      </c>
      <c r="I55" s="364">
        <v>83101</v>
      </c>
      <c r="J55" s="364">
        <v>20170101</v>
      </c>
      <c r="K55" s="364">
        <v>20190930</v>
      </c>
    </row>
    <row r="56" spans="2:11" x14ac:dyDescent="0.25">
      <c r="B56" s="364">
        <v>1</v>
      </c>
      <c r="C56" s="364" t="s">
        <v>321</v>
      </c>
      <c r="D56" s="364" t="s">
        <v>324</v>
      </c>
      <c r="E56" s="364">
        <v>100</v>
      </c>
      <c r="F56" s="364" t="s">
        <v>325</v>
      </c>
      <c r="G56" s="364" t="s">
        <v>1489</v>
      </c>
      <c r="H56" s="364" t="s">
        <v>1490</v>
      </c>
      <c r="I56" s="364">
        <v>83101</v>
      </c>
      <c r="J56" s="364">
        <v>20170101</v>
      </c>
      <c r="K56" s="364">
        <v>20190930</v>
      </c>
    </row>
    <row r="57" spans="2:11" x14ac:dyDescent="0.25">
      <c r="B57" s="364">
        <v>1</v>
      </c>
      <c r="C57" s="364" t="s">
        <v>321</v>
      </c>
      <c r="D57" s="364" t="s">
        <v>324</v>
      </c>
      <c r="E57" s="364">
        <v>100</v>
      </c>
      <c r="F57" s="364" t="s">
        <v>325</v>
      </c>
      <c r="G57" s="364" t="s">
        <v>1491</v>
      </c>
      <c r="H57" s="364" t="s">
        <v>1492</v>
      </c>
      <c r="I57" s="364">
        <v>83101</v>
      </c>
      <c r="J57" s="364">
        <v>20170101</v>
      </c>
      <c r="K57" s="364">
        <v>20190930</v>
      </c>
    </row>
    <row r="58" spans="2:11" x14ac:dyDescent="0.25">
      <c r="B58" s="364">
        <v>1</v>
      </c>
      <c r="C58" s="364" t="s">
        <v>321</v>
      </c>
      <c r="D58" s="364" t="s">
        <v>324</v>
      </c>
      <c r="E58" s="364">
        <v>100</v>
      </c>
      <c r="F58" s="364" t="s">
        <v>325</v>
      </c>
      <c r="G58" s="364" t="s">
        <v>1565</v>
      </c>
      <c r="H58" s="364" t="s">
        <v>1566</v>
      </c>
      <c r="I58" s="364">
        <v>83101</v>
      </c>
      <c r="J58" s="364">
        <v>20170101</v>
      </c>
      <c r="K58" s="364">
        <v>20190930</v>
      </c>
    </row>
    <row r="59" spans="2:11" x14ac:dyDescent="0.25">
      <c r="B59" s="364">
        <v>1</v>
      </c>
      <c r="C59" s="364" t="s">
        <v>321</v>
      </c>
      <c r="D59" s="364" t="s">
        <v>324</v>
      </c>
      <c r="E59" s="364">
        <v>100</v>
      </c>
      <c r="F59" s="364" t="s">
        <v>325</v>
      </c>
      <c r="G59" s="364" t="s">
        <v>1567</v>
      </c>
      <c r="H59" s="364" t="s">
        <v>1568</v>
      </c>
      <c r="I59" s="364">
        <v>83101</v>
      </c>
      <c r="J59" s="364">
        <v>20170101</v>
      </c>
      <c r="K59" s="364">
        <v>20190930</v>
      </c>
    </row>
    <row r="60" spans="2:11" x14ac:dyDescent="0.25">
      <c r="B60" s="364">
        <v>1</v>
      </c>
      <c r="C60" s="364" t="s">
        <v>321</v>
      </c>
      <c r="D60" s="364" t="s">
        <v>324</v>
      </c>
      <c r="E60" s="364">
        <v>100</v>
      </c>
      <c r="F60" s="364" t="s">
        <v>325</v>
      </c>
      <c r="G60" s="364" t="s">
        <v>1198</v>
      </c>
      <c r="H60" s="364" t="s">
        <v>1199</v>
      </c>
      <c r="I60" s="364">
        <v>83101</v>
      </c>
      <c r="J60" s="364">
        <v>20170101</v>
      </c>
      <c r="K60" s="364">
        <v>20190930</v>
      </c>
    </row>
    <row r="61" spans="2:11" x14ac:dyDescent="0.25">
      <c r="B61" s="364">
        <v>1</v>
      </c>
      <c r="C61" s="364" t="s">
        <v>321</v>
      </c>
      <c r="D61" s="364" t="s">
        <v>324</v>
      </c>
      <c r="E61" s="364">
        <v>100</v>
      </c>
      <c r="F61" s="364" t="s">
        <v>325</v>
      </c>
      <c r="G61" s="364" t="s">
        <v>1200</v>
      </c>
      <c r="H61" s="364" t="s">
        <v>1201</v>
      </c>
      <c r="I61" s="364">
        <v>83101</v>
      </c>
      <c r="J61" s="364">
        <v>20170101</v>
      </c>
      <c r="K61" s="364">
        <v>20190930</v>
      </c>
    </row>
    <row r="62" spans="2:11" x14ac:dyDescent="0.25">
      <c r="B62" s="364">
        <v>1</v>
      </c>
      <c r="C62" s="364" t="s">
        <v>321</v>
      </c>
      <c r="D62" s="364" t="s">
        <v>324</v>
      </c>
      <c r="E62" s="364">
        <v>100</v>
      </c>
      <c r="F62" s="364" t="s">
        <v>325</v>
      </c>
      <c r="G62" s="364" t="s">
        <v>1202</v>
      </c>
      <c r="H62" s="364" t="s">
        <v>1203</v>
      </c>
      <c r="I62" s="364">
        <v>83101</v>
      </c>
      <c r="J62" s="364">
        <v>20170101</v>
      </c>
      <c r="K62" s="364">
        <v>20190930</v>
      </c>
    </row>
    <row r="63" spans="2:11" x14ac:dyDescent="0.25">
      <c r="B63" s="364">
        <v>1</v>
      </c>
      <c r="C63" s="364" t="s">
        <v>321</v>
      </c>
      <c r="D63" s="364" t="s">
        <v>324</v>
      </c>
      <c r="E63" s="364">
        <v>100</v>
      </c>
      <c r="F63" s="364" t="s">
        <v>325</v>
      </c>
      <c r="G63" s="364" t="s">
        <v>1656</v>
      </c>
      <c r="H63" s="364" t="s">
        <v>1657</v>
      </c>
      <c r="I63" s="364">
        <v>83101</v>
      </c>
      <c r="J63" s="364">
        <v>20170101</v>
      </c>
      <c r="K63" s="364">
        <v>20190930</v>
      </c>
    </row>
    <row r="64" spans="2:11" x14ac:dyDescent="0.25">
      <c r="B64" s="364">
        <v>1</v>
      </c>
      <c r="C64" s="364" t="s">
        <v>321</v>
      </c>
      <c r="D64" s="364" t="s">
        <v>324</v>
      </c>
      <c r="E64" s="364">
        <v>100</v>
      </c>
      <c r="F64" s="364" t="s">
        <v>325</v>
      </c>
      <c r="G64" s="364" t="s">
        <v>1658</v>
      </c>
      <c r="H64" s="364" t="s">
        <v>1659</v>
      </c>
      <c r="I64" s="364">
        <v>83101</v>
      </c>
      <c r="J64" s="364">
        <v>20170101</v>
      </c>
      <c r="K64" s="364">
        <v>20190930</v>
      </c>
    </row>
    <row r="65" spans="2:11" x14ac:dyDescent="0.25">
      <c r="B65" s="364">
        <v>1</v>
      </c>
      <c r="C65" s="364" t="s">
        <v>787</v>
      </c>
      <c r="D65" s="364" t="s">
        <v>324</v>
      </c>
      <c r="E65" s="364">
        <v>100</v>
      </c>
      <c r="F65" s="364" t="s">
        <v>788</v>
      </c>
      <c r="G65" s="364" t="s">
        <v>1204</v>
      </c>
      <c r="H65" s="364" t="s">
        <v>1660</v>
      </c>
      <c r="I65" s="364">
        <v>83101</v>
      </c>
      <c r="J65" s="364">
        <v>20170101</v>
      </c>
      <c r="K65" s="364">
        <v>20190930</v>
      </c>
    </row>
    <row r="66" spans="2:11" x14ac:dyDescent="0.25">
      <c r="B66" s="364">
        <v>1</v>
      </c>
      <c r="C66" s="364" t="s">
        <v>787</v>
      </c>
      <c r="D66" s="364" t="s">
        <v>324</v>
      </c>
      <c r="E66" s="364">
        <v>100</v>
      </c>
      <c r="F66" s="364" t="s">
        <v>788</v>
      </c>
      <c r="G66" s="364" t="s">
        <v>1205</v>
      </c>
      <c r="H66" s="364" t="s">
        <v>1661</v>
      </c>
      <c r="I66" s="364">
        <v>83101</v>
      </c>
      <c r="J66" s="364">
        <v>20170101</v>
      </c>
      <c r="K66" s="364">
        <v>20190930</v>
      </c>
    </row>
    <row r="67" spans="2:11" x14ac:dyDescent="0.25">
      <c r="B67" s="364">
        <v>1</v>
      </c>
      <c r="C67" s="364" t="s">
        <v>787</v>
      </c>
      <c r="D67" s="364" t="s">
        <v>324</v>
      </c>
      <c r="E67" s="364">
        <v>100</v>
      </c>
      <c r="F67" s="364" t="s">
        <v>788</v>
      </c>
      <c r="G67" s="364" t="s">
        <v>1206</v>
      </c>
      <c r="H67" s="364" t="s">
        <v>1662</v>
      </c>
      <c r="I67" s="364">
        <v>83101</v>
      </c>
      <c r="J67" s="364">
        <v>20170101</v>
      </c>
      <c r="K67" s="364">
        <v>20190930</v>
      </c>
    </row>
    <row r="68" spans="2:11" x14ac:dyDescent="0.25">
      <c r="B68" s="364">
        <v>1</v>
      </c>
      <c r="C68" s="364" t="s">
        <v>787</v>
      </c>
      <c r="D68" s="364" t="s">
        <v>324</v>
      </c>
      <c r="E68" s="364">
        <v>100</v>
      </c>
      <c r="F68" s="364" t="s">
        <v>788</v>
      </c>
      <c r="G68" s="364" t="s">
        <v>1207</v>
      </c>
      <c r="H68" s="364" t="s">
        <v>912</v>
      </c>
      <c r="I68" s="364">
        <v>83101</v>
      </c>
      <c r="J68" s="364">
        <v>20170101</v>
      </c>
      <c r="K68" s="364">
        <v>20190930</v>
      </c>
    </row>
    <row r="69" spans="2:11" x14ac:dyDescent="0.25">
      <c r="B69" s="364">
        <v>1</v>
      </c>
      <c r="C69" s="364" t="s">
        <v>787</v>
      </c>
      <c r="D69" s="364" t="s">
        <v>324</v>
      </c>
      <c r="E69" s="364">
        <v>100</v>
      </c>
      <c r="F69" s="364" t="s">
        <v>788</v>
      </c>
      <c r="G69" s="364" t="s">
        <v>1208</v>
      </c>
      <c r="H69" s="364" t="s">
        <v>791</v>
      </c>
      <c r="I69" s="364">
        <v>83101</v>
      </c>
      <c r="J69" s="364">
        <v>20170101</v>
      </c>
      <c r="K69" s="364">
        <v>20190930</v>
      </c>
    </row>
    <row r="70" spans="2:11" x14ac:dyDescent="0.25">
      <c r="B70" s="364">
        <v>1</v>
      </c>
      <c r="C70" s="364" t="s">
        <v>787</v>
      </c>
      <c r="D70" s="364" t="s">
        <v>324</v>
      </c>
      <c r="E70" s="364">
        <v>100</v>
      </c>
      <c r="F70" s="364" t="s">
        <v>788</v>
      </c>
      <c r="G70" s="364" t="s">
        <v>1209</v>
      </c>
      <c r="H70" s="364" t="s">
        <v>1210</v>
      </c>
      <c r="I70" s="364">
        <v>83101</v>
      </c>
      <c r="J70" s="364">
        <v>20170101</v>
      </c>
      <c r="K70" s="364">
        <v>20190930</v>
      </c>
    </row>
    <row r="71" spans="2:11" x14ac:dyDescent="0.25">
      <c r="B71" s="364">
        <v>1</v>
      </c>
      <c r="C71" s="364" t="s">
        <v>787</v>
      </c>
      <c r="D71" s="364" t="s">
        <v>324</v>
      </c>
      <c r="E71" s="364">
        <v>100</v>
      </c>
      <c r="F71" s="364" t="s">
        <v>788</v>
      </c>
      <c r="G71" s="364" t="s">
        <v>1211</v>
      </c>
      <c r="H71" s="364" t="s">
        <v>790</v>
      </c>
      <c r="I71" s="364">
        <v>83101</v>
      </c>
      <c r="J71" s="364">
        <v>20170101</v>
      </c>
      <c r="K71" s="364">
        <v>20190930</v>
      </c>
    </row>
    <row r="72" spans="2:11" x14ac:dyDescent="0.25">
      <c r="B72" s="364">
        <v>1</v>
      </c>
      <c r="C72" s="364" t="s">
        <v>787</v>
      </c>
      <c r="D72" s="364" t="s">
        <v>324</v>
      </c>
      <c r="E72" s="364">
        <v>100</v>
      </c>
      <c r="F72" s="364" t="s">
        <v>788</v>
      </c>
      <c r="G72" s="364" t="s">
        <v>1212</v>
      </c>
      <c r="H72" s="364" t="s">
        <v>1213</v>
      </c>
      <c r="I72" s="364">
        <v>83101</v>
      </c>
      <c r="J72" s="364">
        <v>20170101</v>
      </c>
      <c r="K72" s="364">
        <v>20190930</v>
      </c>
    </row>
    <row r="73" spans="2:11" x14ac:dyDescent="0.25">
      <c r="B73" s="364">
        <v>1</v>
      </c>
      <c r="C73" s="364" t="s">
        <v>787</v>
      </c>
      <c r="D73" s="364" t="s">
        <v>324</v>
      </c>
      <c r="E73" s="364">
        <v>100</v>
      </c>
      <c r="F73" s="364" t="s">
        <v>788</v>
      </c>
      <c r="G73" s="364" t="s">
        <v>1214</v>
      </c>
      <c r="H73" s="364" t="s">
        <v>1215</v>
      </c>
      <c r="I73" s="364">
        <v>83101</v>
      </c>
      <c r="J73" s="364">
        <v>20170101</v>
      </c>
      <c r="K73" s="364">
        <v>20190930</v>
      </c>
    </row>
    <row r="74" spans="2:11" x14ac:dyDescent="0.25">
      <c r="B74" s="364">
        <v>1</v>
      </c>
      <c r="C74" s="364" t="s">
        <v>787</v>
      </c>
      <c r="D74" s="364" t="s">
        <v>324</v>
      </c>
      <c r="E74" s="364">
        <v>100</v>
      </c>
      <c r="F74" s="364" t="s">
        <v>788</v>
      </c>
      <c r="G74" s="364" t="s">
        <v>1216</v>
      </c>
      <c r="H74" s="364" t="s">
        <v>792</v>
      </c>
      <c r="I74" s="364">
        <v>83101</v>
      </c>
      <c r="J74" s="364">
        <v>20170101</v>
      </c>
      <c r="K74" s="364">
        <v>20190930</v>
      </c>
    </row>
    <row r="75" spans="2:11" x14ac:dyDescent="0.25">
      <c r="B75" s="364">
        <v>1</v>
      </c>
      <c r="C75" s="364" t="s">
        <v>787</v>
      </c>
      <c r="D75" s="364" t="s">
        <v>324</v>
      </c>
      <c r="E75" s="364">
        <v>100</v>
      </c>
      <c r="F75" s="364" t="s">
        <v>788</v>
      </c>
      <c r="G75" s="364" t="s">
        <v>1217</v>
      </c>
      <c r="H75" s="364" t="s">
        <v>1218</v>
      </c>
      <c r="I75" s="364">
        <v>83101</v>
      </c>
      <c r="J75" s="364">
        <v>20170101</v>
      </c>
      <c r="K75" s="364">
        <v>20190930</v>
      </c>
    </row>
    <row r="76" spans="2:11" x14ac:dyDescent="0.25">
      <c r="B76" s="364">
        <v>1</v>
      </c>
      <c r="C76" s="364" t="s">
        <v>787</v>
      </c>
      <c r="D76" s="364" t="s">
        <v>324</v>
      </c>
      <c r="E76" s="364">
        <v>100</v>
      </c>
      <c r="F76" s="364" t="s">
        <v>788</v>
      </c>
      <c r="G76" s="364" t="s">
        <v>1219</v>
      </c>
      <c r="H76" s="364" t="s">
        <v>1220</v>
      </c>
      <c r="I76" s="364">
        <v>83101</v>
      </c>
      <c r="J76" s="364">
        <v>20170101</v>
      </c>
      <c r="K76" s="364">
        <v>20190930</v>
      </c>
    </row>
    <row r="77" spans="2:11" x14ac:dyDescent="0.25">
      <c r="B77" s="364">
        <v>1</v>
      </c>
      <c r="C77" s="364" t="s">
        <v>787</v>
      </c>
      <c r="D77" s="364" t="s">
        <v>324</v>
      </c>
      <c r="E77" s="364">
        <v>100</v>
      </c>
      <c r="F77" s="364" t="s">
        <v>788</v>
      </c>
      <c r="G77" s="364" t="s">
        <v>1221</v>
      </c>
      <c r="H77" s="364" t="s">
        <v>1222</v>
      </c>
      <c r="I77" s="364">
        <v>83101</v>
      </c>
      <c r="J77" s="364">
        <v>20170101</v>
      </c>
      <c r="K77" s="364">
        <v>20190930</v>
      </c>
    </row>
    <row r="78" spans="2:11" x14ac:dyDescent="0.25">
      <c r="B78" s="364">
        <v>1</v>
      </c>
      <c r="C78" s="364" t="s">
        <v>787</v>
      </c>
      <c r="D78" s="364" t="s">
        <v>324</v>
      </c>
      <c r="E78" s="364">
        <v>100</v>
      </c>
      <c r="F78" s="364" t="s">
        <v>788</v>
      </c>
      <c r="G78" s="364" t="s">
        <v>1224</v>
      </c>
      <c r="H78" s="364" t="s">
        <v>1225</v>
      </c>
      <c r="I78" s="364">
        <v>83101</v>
      </c>
      <c r="J78" s="364">
        <v>20170101</v>
      </c>
      <c r="K78" s="364">
        <v>20190930</v>
      </c>
    </row>
    <row r="79" spans="2:11" x14ac:dyDescent="0.25">
      <c r="B79" s="364">
        <v>1</v>
      </c>
      <c r="C79" s="364" t="s">
        <v>787</v>
      </c>
      <c r="D79" s="364" t="s">
        <v>324</v>
      </c>
      <c r="E79" s="364">
        <v>100</v>
      </c>
      <c r="F79" s="364" t="s">
        <v>788</v>
      </c>
      <c r="G79" s="364" t="s">
        <v>1226</v>
      </c>
      <c r="H79" s="364" t="s">
        <v>1227</v>
      </c>
      <c r="I79" s="364">
        <v>83101</v>
      </c>
      <c r="J79" s="364">
        <v>20170101</v>
      </c>
      <c r="K79" s="364">
        <v>20190930</v>
      </c>
    </row>
    <row r="80" spans="2:11" x14ac:dyDescent="0.25">
      <c r="B80" s="364">
        <v>1</v>
      </c>
      <c r="C80" s="364" t="s">
        <v>787</v>
      </c>
      <c r="D80" s="364" t="s">
        <v>324</v>
      </c>
      <c r="E80" s="364">
        <v>100</v>
      </c>
      <c r="F80" s="364" t="s">
        <v>788</v>
      </c>
      <c r="G80" s="364" t="s">
        <v>1420</v>
      </c>
      <c r="H80" s="364" t="s">
        <v>1569</v>
      </c>
      <c r="I80" s="364">
        <v>83101</v>
      </c>
      <c r="J80" s="364">
        <v>20170101</v>
      </c>
      <c r="K80" s="364">
        <v>20190930</v>
      </c>
    </row>
    <row r="81" spans="2:11" x14ac:dyDescent="0.25">
      <c r="B81" s="364">
        <v>1</v>
      </c>
      <c r="C81" s="364" t="s">
        <v>787</v>
      </c>
      <c r="D81" s="364" t="s">
        <v>324</v>
      </c>
      <c r="E81" s="364">
        <v>100</v>
      </c>
      <c r="F81" s="364" t="s">
        <v>788</v>
      </c>
      <c r="G81" s="364" t="s">
        <v>1493</v>
      </c>
      <c r="H81" s="364" t="s">
        <v>1494</v>
      </c>
      <c r="I81" s="364">
        <v>83101</v>
      </c>
      <c r="J81" s="364">
        <v>20170101</v>
      </c>
      <c r="K81" s="364">
        <v>20190930</v>
      </c>
    </row>
    <row r="82" spans="2:11" x14ac:dyDescent="0.25">
      <c r="B82" s="364">
        <v>1</v>
      </c>
      <c r="C82" s="364" t="s">
        <v>787</v>
      </c>
      <c r="D82" s="364" t="s">
        <v>324</v>
      </c>
      <c r="E82" s="364">
        <v>100</v>
      </c>
      <c r="F82" s="364" t="s">
        <v>788</v>
      </c>
      <c r="G82" s="364" t="s">
        <v>1462</v>
      </c>
      <c r="H82" s="364" t="s">
        <v>1495</v>
      </c>
      <c r="I82" s="364">
        <v>83101</v>
      </c>
      <c r="J82" s="364">
        <v>20170101</v>
      </c>
      <c r="K82" s="364">
        <v>20190930</v>
      </c>
    </row>
    <row r="83" spans="2:11" x14ac:dyDescent="0.25">
      <c r="B83" s="364">
        <v>1</v>
      </c>
      <c r="C83" s="364" t="s">
        <v>787</v>
      </c>
      <c r="D83" s="364" t="s">
        <v>324</v>
      </c>
      <c r="E83" s="364">
        <v>100</v>
      </c>
      <c r="F83" s="364" t="s">
        <v>788</v>
      </c>
      <c r="G83" s="364" t="s">
        <v>1228</v>
      </c>
      <c r="H83" s="364" t="s">
        <v>793</v>
      </c>
      <c r="I83" s="364">
        <v>83101</v>
      </c>
      <c r="J83" s="364">
        <v>20170101</v>
      </c>
      <c r="K83" s="364">
        <v>20190930</v>
      </c>
    </row>
    <row r="84" spans="2:11" x14ac:dyDescent="0.25">
      <c r="B84" s="364">
        <v>1</v>
      </c>
      <c r="C84" s="364" t="s">
        <v>787</v>
      </c>
      <c r="D84" s="364" t="s">
        <v>324</v>
      </c>
      <c r="E84" s="364">
        <v>100</v>
      </c>
      <c r="F84" s="364" t="s">
        <v>788</v>
      </c>
      <c r="G84" s="364" t="s">
        <v>1229</v>
      </c>
      <c r="H84" s="364" t="s">
        <v>1230</v>
      </c>
      <c r="I84" s="364">
        <v>83101</v>
      </c>
      <c r="J84" s="364">
        <v>20170101</v>
      </c>
      <c r="K84" s="364">
        <v>20190930</v>
      </c>
    </row>
    <row r="85" spans="2:11" x14ac:dyDescent="0.25">
      <c r="B85" s="364">
        <v>1</v>
      </c>
      <c r="C85" s="364" t="s">
        <v>787</v>
      </c>
      <c r="D85" s="364" t="s">
        <v>324</v>
      </c>
      <c r="E85" s="364">
        <v>100</v>
      </c>
      <c r="F85" s="364" t="s">
        <v>788</v>
      </c>
      <c r="G85" s="364" t="s">
        <v>1231</v>
      </c>
      <c r="H85" s="364" t="s">
        <v>1230</v>
      </c>
      <c r="I85" s="364">
        <v>83101</v>
      </c>
      <c r="J85" s="364">
        <v>20170101</v>
      </c>
      <c r="K85" s="364">
        <v>20190930</v>
      </c>
    </row>
    <row r="86" spans="2:11" x14ac:dyDescent="0.25">
      <c r="B86" s="364">
        <v>1</v>
      </c>
      <c r="C86" s="364" t="s">
        <v>787</v>
      </c>
      <c r="D86" s="364" t="s">
        <v>324</v>
      </c>
      <c r="E86" s="364">
        <v>100</v>
      </c>
      <c r="F86" s="364" t="s">
        <v>788</v>
      </c>
      <c r="G86" s="364" t="s">
        <v>1232</v>
      </c>
      <c r="H86" s="364" t="s">
        <v>1233</v>
      </c>
      <c r="I86" s="364">
        <v>83101</v>
      </c>
      <c r="J86" s="364">
        <v>20170101</v>
      </c>
      <c r="K86" s="364">
        <v>20190930</v>
      </c>
    </row>
    <row r="87" spans="2:11" x14ac:dyDescent="0.25">
      <c r="B87" s="364">
        <v>1</v>
      </c>
      <c r="C87" s="364" t="s">
        <v>787</v>
      </c>
      <c r="D87" s="364" t="s">
        <v>324</v>
      </c>
      <c r="E87" s="364">
        <v>100</v>
      </c>
      <c r="F87" s="364" t="s">
        <v>788</v>
      </c>
      <c r="G87" s="364" t="s">
        <v>1234</v>
      </c>
      <c r="H87" s="364" t="s">
        <v>1235</v>
      </c>
      <c r="I87" s="364">
        <v>83101</v>
      </c>
      <c r="J87" s="364">
        <v>20170101</v>
      </c>
      <c r="K87" s="364">
        <v>20190930</v>
      </c>
    </row>
    <row r="88" spans="2:11" x14ac:dyDescent="0.25">
      <c r="B88" s="364">
        <v>1</v>
      </c>
      <c r="C88" s="364" t="s">
        <v>787</v>
      </c>
      <c r="D88" s="364" t="s">
        <v>324</v>
      </c>
      <c r="E88" s="364">
        <v>100</v>
      </c>
      <c r="F88" s="364" t="s">
        <v>788</v>
      </c>
      <c r="G88" s="364" t="s">
        <v>1236</v>
      </c>
      <c r="H88" s="364" t="s">
        <v>1237</v>
      </c>
      <c r="I88" s="364">
        <v>83101</v>
      </c>
      <c r="J88" s="364">
        <v>20170101</v>
      </c>
      <c r="K88" s="364">
        <v>20190930</v>
      </c>
    </row>
    <row r="89" spans="2:11" x14ac:dyDescent="0.25">
      <c r="B89" s="364">
        <v>1</v>
      </c>
      <c r="C89" s="364" t="s">
        <v>787</v>
      </c>
      <c r="D89" s="364" t="s">
        <v>324</v>
      </c>
      <c r="E89" s="364">
        <v>100</v>
      </c>
      <c r="F89" s="364" t="s">
        <v>788</v>
      </c>
      <c r="G89" s="364" t="s">
        <v>1238</v>
      </c>
      <c r="H89" s="364" t="s">
        <v>1239</v>
      </c>
      <c r="I89" s="364">
        <v>83101</v>
      </c>
      <c r="J89" s="364">
        <v>20170101</v>
      </c>
      <c r="K89" s="364">
        <v>20190930</v>
      </c>
    </row>
    <row r="90" spans="2:11" x14ac:dyDescent="0.25">
      <c r="B90" s="364">
        <v>1</v>
      </c>
      <c r="C90" s="364" t="s">
        <v>787</v>
      </c>
      <c r="D90" s="364" t="s">
        <v>324</v>
      </c>
      <c r="E90" s="364">
        <v>100</v>
      </c>
      <c r="F90" s="364" t="s">
        <v>788</v>
      </c>
      <c r="G90" s="364" t="s">
        <v>1240</v>
      </c>
      <c r="H90" s="364" t="s">
        <v>794</v>
      </c>
      <c r="I90" s="364">
        <v>83101</v>
      </c>
      <c r="J90" s="364">
        <v>20170101</v>
      </c>
      <c r="K90" s="364">
        <v>20190930</v>
      </c>
    </row>
    <row r="91" spans="2:11" x14ac:dyDescent="0.25">
      <c r="B91" s="364">
        <v>1</v>
      </c>
      <c r="C91" s="364" t="s">
        <v>787</v>
      </c>
      <c r="D91" s="364" t="s">
        <v>324</v>
      </c>
      <c r="E91" s="364">
        <v>100</v>
      </c>
      <c r="F91" s="364" t="s">
        <v>788</v>
      </c>
      <c r="G91" s="364" t="s">
        <v>1241</v>
      </c>
      <c r="H91" s="364" t="s">
        <v>795</v>
      </c>
      <c r="I91" s="364">
        <v>83101</v>
      </c>
      <c r="J91" s="364">
        <v>20170101</v>
      </c>
      <c r="K91" s="364">
        <v>20190930</v>
      </c>
    </row>
    <row r="92" spans="2:11" x14ac:dyDescent="0.25">
      <c r="B92" s="364">
        <v>1</v>
      </c>
      <c r="C92" s="364" t="s">
        <v>787</v>
      </c>
      <c r="D92" s="364" t="s">
        <v>324</v>
      </c>
      <c r="E92" s="364">
        <v>100</v>
      </c>
      <c r="F92" s="364" t="s">
        <v>788</v>
      </c>
      <c r="G92" s="364" t="s">
        <v>1242</v>
      </c>
      <c r="H92" s="364" t="s">
        <v>793</v>
      </c>
      <c r="I92" s="364">
        <v>83101</v>
      </c>
      <c r="J92" s="364">
        <v>20170101</v>
      </c>
      <c r="K92" s="364">
        <v>20190930</v>
      </c>
    </row>
    <row r="93" spans="2:11" x14ac:dyDescent="0.25">
      <c r="B93" s="364">
        <v>1</v>
      </c>
      <c r="C93" s="364" t="s">
        <v>787</v>
      </c>
      <c r="D93" s="364" t="s">
        <v>324</v>
      </c>
      <c r="E93" s="364">
        <v>100</v>
      </c>
      <c r="F93" s="364" t="s">
        <v>788</v>
      </c>
      <c r="G93" s="364" t="s">
        <v>1243</v>
      </c>
      <c r="H93" s="364" t="s">
        <v>1663</v>
      </c>
      <c r="I93" s="364">
        <v>83101</v>
      </c>
      <c r="J93" s="364">
        <v>20170101</v>
      </c>
      <c r="K93" s="364">
        <v>20190930</v>
      </c>
    </row>
    <row r="94" spans="2:11" x14ac:dyDescent="0.25">
      <c r="B94" s="364">
        <v>1</v>
      </c>
      <c r="C94" s="364" t="s">
        <v>787</v>
      </c>
      <c r="D94" s="364" t="s">
        <v>324</v>
      </c>
      <c r="E94" s="364">
        <v>100</v>
      </c>
      <c r="F94" s="364" t="s">
        <v>788</v>
      </c>
      <c r="G94" s="364" t="s">
        <v>1246</v>
      </c>
      <c r="H94" s="364" t="s">
        <v>1247</v>
      </c>
      <c r="I94" s="364">
        <v>83101</v>
      </c>
      <c r="J94" s="364">
        <v>20170101</v>
      </c>
      <c r="K94" s="364">
        <v>20190930</v>
      </c>
    </row>
    <row r="95" spans="2:11" x14ac:dyDescent="0.25">
      <c r="B95" s="364">
        <v>1</v>
      </c>
      <c r="C95" s="364" t="s">
        <v>787</v>
      </c>
      <c r="D95" s="364" t="s">
        <v>324</v>
      </c>
      <c r="E95" s="364">
        <v>100</v>
      </c>
      <c r="F95" s="364" t="s">
        <v>788</v>
      </c>
      <c r="G95" s="364" t="s">
        <v>1248</v>
      </c>
      <c r="H95" s="364" t="s">
        <v>1249</v>
      </c>
      <c r="I95" s="364">
        <v>83101</v>
      </c>
      <c r="J95" s="364">
        <v>20170101</v>
      </c>
      <c r="K95" s="364">
        <v>20190930</v>
      </c>
    </row>
    <row r="96" spans="2:11" x14ac:dyDescent="0.25">
      <c r="B96" s="364">
        <v>1</v>
      </c>
      <c r="C96" s="364" t="s">
        <v>787</v>
      </c>
      <c r="D96" s="364" t="s">
        <v>324</v>
      </c>
      <c r="E96" s="364">
        <v>100</v>
      </c>
      <c r="F96" s="364" t="s">
        <v>788</v>
      </c>
      <c r="G96" s="364" t="s">
        <v>1223</v>
      </c>
      <c r="H96" s="364" t="s">
        <v>789</v>
      </c>
      <c r="I96" s="364">
        <v>83101</v>
      </c>
      <c r="J96" s="364">
        <v>20170101</v>
      </c>
      <c r="K96" s="364">
        <v>20190930</v>
      </c>
    </row>
    <row r="97" spans="2:11" x14ac:dyDescent="0.25">
      <c r="B97" s="364">
        <v>1</v>
      </c>
      <c r="C97" s="364" t="s">
        <v>787</v>
      </c>
      <c r="D97" s="364" t="s">
        <v>324</v>
      </c>
      <c r="E97" s="364">
        <v>100</v>
      </c>
      <c r="F97" s="364" t="s">
        <v>788</v>
      </c>
      <c r="G97" s="364" t="s">
        <v>1250</v>
      </c>
      <c r="H97" s="364" t="s">
        <v>1664</v>
      </c>
      <c r="I97" s="364">
        <v>83101</v>
      </c>
      <c r="J97" s="364">
        <v>20170101</v>
      </c>
      <c r="K97" s="364">
        <v>20190930</v>
      </c>
    </row>
    <row r="98" spans="2:11" x14ac:dyDescent="0.25">
      <c r="B98" s="364">
        <v>1</v>
      </c>
      <c r="C98" s="364" t="s">
        <v>787</v>
      </c>
      <c r="D98" s="364" t="s">
        <v>324</v>
      </c>
      <c r="E98" s="364">
        <v>100</v>
      </c>
      <c r="F98" s="364" t="s">
        <v>788</v>
      </c>
      <c r="G98" s="364" t="s">
        <v>1422</v>
      </c>
      <c r="H98" s="364" t="s">
        <v>1496</v>
      </c>
      <c r="I98" s="364">
        <v>83101</v>
      </c>
      <c r="J98" s="364">
        <v>20170101</v>
      </c>
      <c r="K98" s="364">
        <v>20190930</v>
      </c>
    </row>
    <row r="99" spans="2:11" x14ac:dyDescent="0.25">
      <c r="B99" s="364">
        <v>1</v>
      </c>
      <c r="C99" s="364" t="s">
        <v>787</v>
      </c>
      <c r="D99" s="364" t="s">
        <v>324</v>
      </c>
      <c r="E99" s="364">
        <v>100</v>
      </c>
      <c r="F99" s="364" t="s">
        <v>788</v>
      </c>
      <c r="G99" s="364" t="s">
        <v>1251</v>
      </c>
      <c r="H99" s="364" t="s">
        <v>1665</v>
      </c>
      <c r="I99" s="364">
        <v>83101</v>
      </c>
      <c r="J99" s="364">
        <v>20170101</v>
      </c>
      <c r="K99" s="364">
        <v>20190930</v>
      </c>
    </row>
    <row r="100" spans="2:11" x14ac:dyDescent="0.25">
      <c r="B100" s="364">
        <v>1</v>
      </c>
      <c r="C100" s="364" t="s">
        <v>787</v>
      </c>
      <c r="D100" s="364" t="s">
        <v>324</v>
      </c>
      <c r="E100" s="364">
        <v>100</v>
      </c>
      <c r="F100" s="364" t="s">
        <v>788</v>
      </c>
      <c r="G100" s="364" t="s">
        <v>1497</v>
      </c>
      <c r="H100" s="364" t="s">
        <v>1498</v>
      </c>
      <c r="I100" s="364">
        <v>83101</v>
      </c>
      <c r="J100" s="364">
        <v>20170101</v>
      </c>
      <c r="K100" s="364">
        <v>20190930</v>
      </c>
    </row>
    <row r="101" spans="2:11" x14ac:dyDescent="0.25">
      <c r="B101" s="364">
        <v>1</v>
      </c>
      <c r="C101" s="364" t="s">
        <v>787</v>
      </c>
      <c r="D101" s="364" t="s">
        <v>324</v>
      </c>
      <c r="E101" s="364">
        <v>100</v>
      </c>
      <c r="F101" s="364" t="s">
        <v>788</v>
      </c>
      <c r="G101" s="364" t="s">
        <v>1499</v>
      </c>
      <c r="H101" s="364" t="s">
        <v>1500</v>
      </c>
      <c r="I101" s="364">
        <v>83101</v>
      </c>
      <c r="J101" s="364">
        <v>20170101</v>
      </c>
      <c r="K101" s="364">
        <v>20190930</v>
      </c>
    </row>
    <row r="102" spans="2:11" x14ac:dyDescent="0.25">
      <c r="B102" s="364">
        <v>1</v>
      </c>
      <c r="C102" s="364" t="s">
        <v>787</v>
      </c>
      <c r="D102" s="364" t="s">
        <v>324</v>
      </c>
      <c r="E102" s="364">
        <v>100</v>
      </c>
      <c r="F102" s="364" t="s">
        <v>788</v>
      </c>
      <c r="G102" s="364" t="s">
        <v>1501</v>
      </c>
      <c r="H102" s="364" t="s">
        <v>1502</v>
      </c>
      <c r="I102" s="364">
        <v>83101</v>
      </c>
      <c r="J102" s="364">
        <v>20170101</v>
      </c>
      <c r="K102" s="364">
        <v>20190930</v>
      </c>
    </row>
    <row r="103" spans="2:11" x14ac:dyDescent="0.25">
      <c r="B103" s="364">
        <v>1</v>
      </c>
      <c r="C103" s="364" t="s">
        <v>787</v>
      </c>
      <c r="D103" s="364" t="s">
        <v>324</v>
      </c>
      <c r="E103" s="364">
        <v>100</v>
      </c>
      <c r="F103" s="364" t="s">
        <v>788</v>
      </c>
      <c r="G103" s="364" t="s">
        <v>1503</v>
      </c>
      <c r="H103" s="364" t="s">
        <v>1504</v>
      </c>
      <c r="I103" s="364">
        <v>83101</v>
      </c>
      <c r="J103" s="364">
        <v>20170101</v>
      </c>
      <c r="K103" s="364">
        <v>20190930</v>
      </c>
    </row>
    <row r="104" spans="2:11" x14ac:dyDescent="0.25">
      <c r="B104" s="364">
        <v>1</v>
      </c>
      <c r="C104" s="364" t="s">
        <v>787</v>
      </c>
      <c r="D104" s="364" t="s">
        <v>324</v>
      </c>
      <c r="E104" s="364">
        <v>100</v>
      </c>
      <c r="F104" s="364" t="s">
        <v>788</v>
      </c>
      <c r="G104" s="364" t="s">
        <v>1505</v>
      </c>
      <c r="H104" s="364" t="s">
        <v>1506</v>
      </c>
      <c r="I104" s="364">
        <v>83101</v>
      </c>
      <c r="J104" s="364">
        <v>20170101</v>
      </c>
      <c r="K104" s="364">
        <v>20190930</v>
      </c>
    </row>
    <row r="105" spans="2:11" x14ac:dyDescent="0.25">
      <c r="B105" s="364">
        <v>1</v>
      </c>
      <c r="C105" s="364" t="s">
        <v>787</v>
      </c>
      <c r="D105" s="364" t="s">
        <v>324</v>
      </c>
      <c r="E105" s="364">
        <v>100</v>
      </c>
      <c r="F105" s="364" t="s">
        <v>788</v>
      </c>
      <c r="G105" s="364" t="s">
        <v>1507</v>
      </c>
      <c r="H105" s="364" t="s">
        <v>1508</v>
      </c>
      <c r="I105" s="364">
        <v>83101</v>
      </c>
      <c r="J105" s="364">
        <v>20170101</v>
      </c>
      <c r="K105" s="364">
        <v>20190930</v>
      </c>
    </row>
    <row r="106" spans="2:11" x14ac:dyDescent="0.25">
      <c r="B106" s="364">
        <v>1</v>
      </c>
      <c r="C106" s="364" t="s">
        <v>787</v>
      </c>
      <c r="D106" s="364" t="s">
        <v>324</v>
      </c>
      <c r="E106" s="364">
        <v>100</v>
      </c>
      <c r="F106" s="364" t="s">
        <v>788</v>
      </c>
      <c r="G106" s="364" t="s">
        <v>1463</v>
      </c>
      <c r="H106" s="364" t="s">
        <v>1666</v>
      </c>
      <c r="I106" s="364">
        <v>83101</v>
      </c>
      <c r="J106" s="364">
        <v>20170101</v>
      </c>
      <c r="K106" s="364">
        <v>20190930</v>
      </c>
    </row>
    <row r="107" spans="2:11" x14ac:dyDescent="0.25">
      <c r="B107" s="364">
        <v>1</v>
      </c>
      <c r="C107" s="364" t="s">
        <v>787</v>
      </c>
      <c r="D107" s="364" t="s">
        <v>324</v>
      </c>
      <c r="E107" s="364">
        <v>100</v>
      </c>
      <c r="F107" s="364" t="s">
        <v>788</v>
      </c>
      <c r="G107" s="364" t="s">
        <v>1464</v>
      </c>
      <c r="H107" s="364" t="s">
        <v>1667</v>
      </c>
      <c r="I107" s="364">
        <v>83101</v>
      </c>
      <c r="J107" s="364">
        <v>20170101</v>
      </c>
      <c r="K107" s="364">
        <v>20190930</v>
      </c>
    </row>
    <row r="108" spans="2:11" x14ac:dyDescent="0.25">
      <c r="B108" s="364">
        <v>1</v>
      </c>
      <c r="C108" s="364" t="s">
        <v>321</v>
      </c>
      <c r="D108" s="364" t="s">
        <v>324</v>
      </c>
      <c r="E108" s="364">
        <v>100</v>
      </c>
      <c r="F108" s="364" t="s">
        <v>325</v>
      </c>
      <c r="G108" s="364" t="s">
        <v>1214</v>
      </c>
      <c r="H108" s="364" t="s">
        <v>326</v>
      </c>
      <c r="I108" s="364">
        <v>83101</v>
      </c>
      <c r="J108" s="364">
        <v>20170101</v>
      </c>
      <c r="K108" s="364">
        <v>20190930</v>
      </c>
    </row>
    <row r="109" spans="2:11" x14ac:dyDescent="0.25">
      <c r="B109" s="364">
        <v>1</v>
      </c>
      <c r="C109" s="364" t="s">
        <v>321</v>
      </c>
      <c r="D109" s="364" t="s">
        <v>324</v>
      </c>
      <c r="E109" s="364">
        <v>100</v>
      </c>
      <c r="F109" s="364" t="s">
        <v>325</v>
      </c>
      <c r="G109" s="364" t="s">
        <v>1252</v>
      </c>
      <c r="H109" s="364" t="s">
        <v>1253</v>
      </c>
      <c r="I109" s="364">
        <v>83101</v>
      </c>
      <c r="J109" s="364">
        <v>20170101</v>
      </c>
      <c r="K109" s="364">
        <v>20190930</v>
      </c>
    </row>
    <row r="110" spans="2:11" x14ac:dyDescent="0.25">
      <c r="B110" s="364">
        <v>1</v>
      </c>
      <c r="C110" s="364" t="s">
        <v>321</v>
      </c>
      <c r="D110" s="364" t="s">
        <v>324</v>
      </c>
      <c r="E110" s="364">
        <v>100</v>
      </c>
      <c r="F110" s="364" t="s">
        <v>325</v>
      </c>
      <c r="G110" s="364" t="s">
        <v>1254</v>
      </c>
      <c r="H110" s="364" t="s">
        <v>911</v>
      </c>
      <c r="I110" s="364">
        <v>83101</v>
      </c>
      <c r="J110" s="364">
        <v>20170101</v>
      </c>
      <c r="K110" s="364">
        <v>20190930</v>
      </c>
    </row>
    <row r="111" spans="2:11" x14ac:dyDescent="0.25">
      <c r="B111" s="364">
        <v>1</v>
      </c>
      <c r="C111" s="364" t="s">
        <v>321</v>
      </c>
      <c r="D111" s="364" t="s">
        <v>324</v>
      </c>
      <c r="E111" s="364">
        <v>100</v>
      </c>
      <c r="F111" s="364" t="s">
        <v>325</v>
      </c>
      <c r="G111" s="364" t="s">
        <v>1396</v>
      </c>
      <c r="H111" s="364" t="s">
        <v>1397</v>
      </c>
      <c r="I111" s="364">
        <v>83101</v>
      </c>
      <c r="J111" s="364">
        <v>20170101</v>
      </c>
      <c r="K111" s="364">
        <v>20190930</v>
      </c>
    </row>
    <row r="112" spans="2:11" x14ac:dyDescent="0.25">
      <c r="B112" s="364">
        <v>1</v>
      </c>
      <c r="C112" s="364" t="s">
        <v>321</v>
      </c>
      <c r="D112" s="364" t="s">
        <v>324</v>
      </c>
      <c r="E112" s="364">
        <v>100</v>
      </c>
      <c r="F112" s="364" t="s">
        <v>325</v>
      </c>
      <c r="G112" s="364" t="s">
        <v>1217</v>
      </c>
      <c r="H112" s="364" t="s">
        <v>1255</v>
      </c>
      <c r="I112" s="364">
        <v>83101</v>
      </c>
      <c r="J112" s="364">
        <v>20170101</v>
      </c>
      <c r="K112" s="364">
        <v>20190930</v>
      </c>
    </row>
    <row r="113" spans="2:11" x14ac:dyDescent="0.25">
      <c r="B113" s="364">
        <v>1</v>
      </c>
      <c r="C113" s="364" t="s">
        <v>321</v>
      </c>
      <c r="D113" s="364" t="s">
        <v>324</v>
      </c>
      <c r="E113" s="364">
        <v>100</v>
      </c>
      <c r="F113" s="364" t="s">
        <v>325</v>
      </c>
      <c r="G113" s="364" t="s">
        <v>1208</v>
      </c>
      <c r="H113" s="364" t="s">
        <v>1256</v>
      </c>
      <c r="I113" s="364">
        <v>83101</v>
      </c>
      <c r="J113" s="364">
        <v>20170101</v>
      </c>
      <c r="K113" s="364">
        <v>20190930</v>
      </c>
    </row>
    <row r="114" spans="2:11" x14ac:dyDescent="0.25">
      <c r="B114" s="364">
        <v>1</v>
      </c>
      <c r="C114" s="364" t="s">
        <v>321</v>
      </c>
      <c r="D114" s="364" t="s">
        <v>324</v>
      </c>
      <c r="E114" s="364">
        <v>100</v>
      </c>
      <c r="F114" s="364" t="s">
        <v>325</v>
      </c>
      <c r="G114" s="364" t="s">
        <v>1257</v>
      </c>
      <c r="H114" s="364" t="s">
        <v>1258</v>
      </c>
      <c r="I114" s="364">
        <v>83101</v>
      </c>
      <c r="J114" s="364">
        <v>20170101</v>
      </c>
      <c r="K114" s="364">
        <v>20190930</v>
      </c>
    </row>
    <row r="115" spans="2:11" x14ac:dyDescent="0.25">
      <c r="B115" s="364">
        <v>1</v>
      </c>
      <c r="C115" s="364" t="s">
        <v>321</v>
      </c>
      <c r="D115" s="364" t="s">
        <v>324</v>
      </c>
      <c r="E115" s="364">
        <v>100</v>
      </c>
      <c r="F115" s="364" t="s">
        <v>325</v>
      </c>
      <c r="G115" s="364" t="s">
        <v>1259</v>
      </c>
      <c r="H115" s="364" t="s">
        <v>1258</v>
      </c>
      <c r="I115" s="364">
        <v>83101</v>
      </c>
      <c r="J115" s="364">
        <v>20170101</v>
      </c>
      <c r="K115" s="364">
        <v>20190930</v>
      </c>
    </row>
    <row r="116" spans="2:11" x14ac:dyDescent="0.25">
      <c r="B116" s="364">
        <v>1</v>
      </c>
      <c r="C116" s="364" t="s">
        <v>321</v>
      </c>
      <c r="D116" s="364" t="s">
        <v>324</v>
      </c>
      <c r="E116" s="364">
        <v>100</v>
      </c>
      <c r="F116" s="364" t="s">
        <v>325</v>
      </c>
      <c r="G116" s="364" t="s">
        <v>1260</v>
      </c>
      <c r="H116" s="364" t="s">
        <v>1261</v>
      </c>
      <c r="I116" s="364">
        <v>83101</v>
      </c>
      <c r="J116" s="364">
        <v>20170101</v>
      </c>
      <c r="K116" s="364">
        <v>20190930</v>
      </c>
    </row>
    <row r="117" spans="2:11" x14ac:dyDescent="0.25">
      <c r="B117" s="364">
        <v>1</v>
      </c>
      <c r="C117" s="364" t="s">
        <v>321</v>
      </c>
      <c r="D117" s="364" t="s">
        <v>324</v>
      </c>
      <c r="E117" s="364">
        <v>100</v>
      </c>
      <c r="F117" s="364" t="s">
        <v>325</v>
      </c>
      <c r="G117" s="364" t="s">
        <v>1262</v>
      </c>
      <c r="H117" s="364" t="s">
        <v>1258</v>
      </c>
      <c r="I117" s="364">
        <v>83101</v>
      </c>
      <c r="J117" s="364">
        <v>20170101</v>
      </c>
      <c r="K117" s="364">
        <v>20190930</v>
      </c>
    </row>
    <row r="118" spans="2:11" x14ac:dyDescent="0.25">
      <c r="B118" s="364">
        <v>1</v>
      </c>
      <c r="C118" s="364" t="s">
        <v>321</v>
      </c>
      <c r="D118" s="364" t="s">
        <v>324</v>
      </c>
      <c r="E118" s="364">
        <v>100</v>
      </c>
      <c r="F118" s="364" t="s">
        <v>325</v>
      </c>
      <c r="G118" s="364" t="s">
        <v>1209</v>
      </c>
      <c r="H118" s="364" t="s">
        <v>1263</v>
      </c>
      <c r="I118" s="364">
        <v>83101</v>
      </c>
      <c r="J118" s="364">
        <v>20170101</v>
      </c>
      <c r="K118" s="364">
        <v>20190930</v>
      </c>
    </row>
    <row r="119" spans="2:11" x14ac:dyDescent="0.25">
      <c r="B119" s="364">
        <v>1</v>
      </c>
      <c r="C119" s="364" t="s">
        <v>321</v>
      </c>
      <c r="D119" s="364" t="s">
        <v>324</v>
      </c>
      <c r="E119" s="364">
        <v>100</v>
      </c>
      <c r="F119" s="364" t="s">
        <v>325</v>
      </c>
      <c r="G119" s="364" t="s">
        <v>1229</v>
      </c>
      <c r="H119" s="364" t="s">
        <v>783</v>
      </c>
      <c r="I119" s="364">
        <v>83101</v>
      </c>
      <c r="J119" s="364">
        <v>20170101</v>
      </c>
      <c r="K119" s="364">
        <v>20190930</v>
      </c>
    </row>
    <row r="120" spans="2:11" x14ac:dyDescent="0.25">
      <c r="B120" s="364">
        <v>1</v>
      </c>
      <c r="C120" s="364" t="s">
        <v>321</v>
      </c>
      <c r="D120" s="364" t="s">
        <v>324</v>
      </c>
      <c r="E120" s="364">
        <v>100</v>
      </c>
      <c r="F120" s="364" t="s">
        <v>325</v>
      </c>
      <c r="G120" s="364" t="s">
        <v>1231</v>
      </c>
      <c r="H120" s="364" t="s">
        <v>1264</v>
      </c>
      <c r="I120" s="364">
        <v>83101</v>
      </c>
      <c r="J120" s="364">
        <v>20170101</v>
      </c>
      <c r="K120" s="364">
        <v>20190930</v>
      </c>
    </row>
    <row r="121" spans="2:11" x14ac:dyDescent="0.25">
      <c r="B121" s="364">
        <v>1</v>
      </c>
      <c r="C121" s="364" t="s">
        <v>321</v>
      </c>
      <c r="D121" s="364" t="s">
        <v>324</v>
      </c>
      <c r="E121" s="364">
        <v>100</v>
      </c>
      <c r="F121" s="364" t="s">
        <v>325</v>
      </c>
      <c r="G121" s="364" t="s">
        <v>1219</v>
      </c>
      <c r="H121" s="364" t="s">
        <v>909</v>
      </c>
      <c r="I121" s="364">
        <v>83101</v>
      </c>
      <c r="J121" s="364">
        <v>20170101</v>
      </c>
      <c r="K121" s="364">
        <v>20190930</v>
      </c>
    </row>
    <row r="122" spans="2:11" x14ac:dyDescent="0.25">
      <c r="B122" s="364">
        <v>1</v>
      </c>
      <c r="C122" s="364" t="s">
        <v>321</v>
      </c>
      <c r="D122" s="364" t="s">
        <v>324</v>
      </c>
      <c r="E122" s="364">
        <v>100</v>
      </c>
      <c r="F122" s="364" t="s">
        <v>325</v>
      </c>
      <c r="G122" s="364" t="s">
        <v>1221</v>
      </c>
      <c r="H122" s="364" t="s">
        <v>910</v>
      </c>
      <c r="I122" s="364">
        <v>83101</v>
      </c>
      <c r="J122" s="364">
        <v>20170101</v>
      </c>
      <c r="K122" s="364">
        <v>20190930</v>
      </c>
    </row>
    <row r="123" spans="2:11" x14ac:dyDescent="0.25">
      <c r="B123" s="364">
        <v>1</v>
      </c>
      <c r="C123" s="364" t="s">
        <v>321</v>
      </c>
      <c r="D123" s="364" t="s">
        <v>324</v>
      </c>
      <c r="E123" s="364">
        <v>100</v>
      </c>
      <c r="F123" s="364" t="s">
        <v>325</v>
      </c>
      <c r="G123" s="364" t="s">
        <v>1232</v>
      </c>
      <c r="H123" s="364" t="s">
        <v>1265</v>
      </c>
      <c r="I123" s="364">
        <v>83101</v>
      </c>
      <c r="J123" s="364">
        <v>20170101</v>
      </c>
      <c r="K123" s="364">
        <v>20190930</v>
      </c>
    </row>
    <row r="124" spans="2:11" x14ac:dyDescent="0.25">
      <c r="B124" s="364">
        <v>1</v>
      </c>
      <c r="C124" s="364" t="s">
        <v>321</v>
      </c>
      <c r="D124" s="364" t="s">
        <v>324</v>
      </c>
      <c r="E124" s="364">
        <v>100</v>
      </c>
      <c r="F124" s="364" t="s">
        <v>325</v>
      </c>
      <c r="G124" s="364" t="s">
        <v>1266</v>
      </c>
      <c r="H124" s="364" t="s">
        <v>1267</v>
      </c>
      <c r="I124" s="364">
        <v>83101</v>
      </c>
      <c r="J124" s="364">
        <v>20170101</v>
      </c>
      <c r="K124" s="364">
        <v>20190930</v>
      </c>
    </row>
    <row r="125" spans="2:11" x14ac:dyDescent="0.25">
      <c r="B125" s="364">
        <v>1</v>
      </c>
      <c r="C125" s="364" t="s">
        <v>321</v>
      </c>
      <c r="D125" s="364" t="s">
        <v>324</v>
      </c>
      <c r="E125" s="364">
        <v>100</v>
      </c>
      <c r="F125" s="364" t="s">
        <v>325</v>
      </c>
      <c r="G125" s="364" t="s">
        <v>1236</v>
      </c>
      <c r="H125" s="364" t="s">
        <v>1268</v>
      </c>
      <c r="I125" s="364">
        <v>83101</v>
      </c>
      <c r="J125" s="364">
        <v>20170101</v>
      </c>
      <c r="K125" s="364">
        <v>20190930</v>
      </c>
    </row>
    <row r="126" spans="2:11" x14ac:dyDescent="0.25">
      <c r="B126" s="364">
        <v>1</v>
      </c>
      <c r="C126" s="364" t="s">
        <v>321</v>
      </c>
      <c r="D126" s="364" t="s">
        <v>324</v>
      </c>
      <c r="E126" s="364">
        <v>100</v>
      </c>
      <c r="F126" s="364" t="s">
        <v>325</v>
      </c>
      <c r="G126" s="364" t="s">
        <v>1534</v>
      </c>
      <c r="H126" s="364" t="s">
        <v>1535</v>
      </c>
      <c r="I126" s="364">
        <v>83101</v>
      </c>
      <c r="J126" s="364">
        <v>20170101</v>
      </c>
      <c r="K126" s="364">
        <v>20190930</v>
      </c>
    </row>
    <row r="127" spans="2:11" x14ac:dyDescent="0.25">
      <c r="B127" s="364">
        <v>1</v>
      </c>
      <c r="C127" s="364" t="s">
        <v>321</v>
      </c>
      <c r="D127" s="364" t="s">
        <v>324</v>
      </c>
      <c r="E127" s="364">
        <v>100</v>
      </c>
      <c r="F127" s="364" t="s">
        <v>325</v>
      </c>
      <c r="G127" s="364" t="s">
        <v>1536</v>
      </c>
      <c r="H127" s="364" t="s">
        <v>1537</v>
      </c>
      <c r="I127" s="364">
        <v>83101</v>
      </c>
      <c r="J127" s="364">
        <v>20170101</v>
      </c>
      <c r="K127" s="364">
        <v>20190930</v>
      </c>
    </row>
    <row r="128" spans="2:11" x14ac:dyDescent="0.25">
      <c r="B128" s="364">
        <v>1</v>
      </c>
      <c r="C128" s="364" t="s">
        <v>321</v>
      </c>
      <c r="D128" s="364" t="s">
        <v>324</v>
      </c>
      <c r="E128" s="364">
        <v>100</v>
      </c>
      <c r="F128" s="364" t="s">
        <v>325</v>
      </c>
      <c r="G128" s="364" t="s">
        <v>1538</v>
      </c>
      <c r="H128" s="364" t="s">
        <v>1539</v>
      </c>
      <c r="I128" s="364">
        <v>83101</v>
      </c>
      <c r="J128" s="364">
        <v>20170101</v>
      </c>
      <c r="K128" s="364">
        <v>20190930</v>
      </c>
    </row>
    <row r="129" spans="2:11" x14ac:dyDescent="0.25">
      <c r="B129" s="364">
        <v>1</v>
      </c>
      <c r="C129" s="364" t="s">
        <v>321</v>
      </c>
      <c r="D129" s="364" t="s">
        <v>324</v>
      </c>
      <c r="E129" s="364">
        <v>100</v>
      </c>
      <c r="F129" s="364" t="s">
        <v>325</v>
      </c>
      <c r="G129" s="364" t="s">
        <v>1540</v>
      </c>
      <c r="H129" s="364" t="s">
        <v>1541</v>
      </c>
      <c r="I129" s="364">
        <v>83101</v>
      </c>
      <c r="J129" s="364">
        <v>20170101</v>
      </c>
      <c r="K129" s="364">
        <v>20190930</v>
      </c>
    </row>
    <row r="130" spans="2:11" x14ac:dyDescent="0.25">
      <c r="B130" s="364">
        <v>1</v>
      </c>
      <c r="C130" s="364" t="s">
        <v>321</v>
      </c>
      <c r="D130" s="364" t="s">
        <v>324</v>
      </c>
      <c r="E130" s="364">
        <v>100</v>
      </c>
      <c r="F130" s="364" t="s">
        <v>325</v>
      </c>
      <c r="G130" s="364" t="s">
        <v>1542</v>
      </c>
      <c r="H130" s="364" t="s">
        <v>1543</v>
      </c>
      <c r="I130" s="364">
        <v>83101</v>
      </c>
      <c r="J130" s="364">
        <v>20170101</v>
      </c>
      <c r="K130" s="364">
        <v>20190930</v>
      </c>
    </row>
    <row r="131" spans="2:11" x14ac:dyDescent="0.25">
      <c r="B131" s="364">
        <v>1</v>
      </c>
      <c r="C131" s="364" t="s">
        <v>321</v>
      </c>
      <c r="D131" s="364" t="s">
        <v>324</v>
      </c>
      <c r="E131" s="364">
        <v>100</v>
      </c>
      <c r="F131" s="364" t="s">
        <v>325</v>
      </c>
      <c r="G131" s="364" t="s">
        <v>1544</v>
      </c>
      <c r="H131" s="364" t="s">
        <v>1545</v>
      </c>
      <c r="I131" s="364">
        <v>83101</v>
      </c>
      <c r="J131" s="364">
        <v>20170101</v>
      </c>
      <c r="K131" s="364">
        <v>20190930</v>
      </c>
    </row>
    <row r="132" spans="2:11" x14ac:dyDescent="0.25">
      <c r="B132" s="364">
        <v>1</v>
      </c>
      <c r="C132" s="364" t="s">
        <v>321</v>
      </c>
      <c r="D132" s="364" t="s">
        <v>324</v>
      </c>
      <c r="E132" s="364">
        <v>100</v>
      </c>
      <c r="F132" s="364" t="s">
        <v>325</v>
      </c>
      <c r="G132" s="364" t="s">
        <v>1546</v>
      </c>
      <c r="H132" s="364" t="s">
        <v>1547</v>
      </c>
      <c r="I132" s="364">
        <v>83101</v>
      </c>
      <c r="J132" s="364">
        <v>20170101</v>
      </c>
      <c r="K132" s="364">
        <v>20190930</v>
      </c>
    </row>
    <row r="133" spans="2:11" x14ac:dyDescent="0.25">
      <c r="B133" s="364">
        <v>1</v>
      </c>
      <c r="C133" s="364" t="s">
        <v>321</v>
      </c>
      <c r="D133" s="364" t="s">
        <v>324</v>
      </c>
      <c r="E133" s="364">
        <v>100</v>
      </c>
      <c r="F133" s="364" t="s">
        <v>325</v>
      </c>
      <c r="G133" s="364" t="s">
        <v>1548</v>
      </c>
      <c r="H133" s="364" t="s">
        <v>1549</v>
      </c>
      <c r="I133" s="364">
        <v>83101</v>
      </c>
      <c r="J133" s="364">
        <v>20170101</v>
      </c>
      <c r="K133" s="364">
        <v>20190930</v>
      </c>
    </row>
    <row r="134" spans="2:11" x14ac:dyDescent="0.25">
      <c r="B134" s="364">
        <v>1</v>
      </c>
      <c r="C134" s="364" t="s">
        <v>321</v>
      </c>
      <c r="D134" s="364" t="s">
        <v>324</v>
      </c>
      <c r="E134" s="364">
        <v>100</v>
      </c>
      <c r="F134" s="364" t="s">
        <v>325</v>
      </c>
      <c r="G134" s="364" t="s">
        <v>1550</v>
      </c>
      <c r="H134" s="364" t="s">
        <v>1551</v>
      </c>
      <c r="I134" s="364">
        <v>83101</v>
      </c>
      <c r="J134" s="364">
        <v>20170101</v>
      </c>
      <c r="K134" s="364">
        <v>20190930</v>
      </c>
    </row>
    <row r="135" spans="2:11" x14ac:dyDescent="0.25">
      <c r="B135" s="364">
        <v>1</v>
      </c>
      <c r="C135" s="364" t="s">
        <v>321</v>
      </c>
      <c r="D135" s="364" t="s">
        <v>324</v>
      </c>
      <c r="E135" s="364">
        <v>100</v>
      </c>
      <c r="F135" s="364" t="s">
        <v>325</v>
      </c>
      <c r="G135" s="364" t="s">
        <v>1552</v>
      </c>
      <c r="H135" s="364" t="s">
        <v>1553</v>
      </c>
      <c r="I135" s="364">
        <v>83101</v>
      </c>
      <c r="J135" s="364">
        <v>20170101</v>
      </c>
      <c r="K135" s="364">
        <v>20190930</v>
      </c>
    </row>
    <row r="136" spans="2:11" x14ac:dyDescent="0.25">
      <c r="B136" s="364">
        <v>1</v>
      </c>
      <c r="C136" s="364" t="s">
        <v>321</v>
      </c>
      <c r="D136" s="364" t="s">
        <v>324</v>
      </c>
      <c r="E136" s="364">
        <v>100</v>
      </c>
      <c r="F136" s="364" t="s">
        <v>325</v>
      </c>
      <c r="G136" s="364" t="s">
        <v>1554</v>
      </c>
      <c r="H136" s="364" t="s">
        <v>1555</v>
      </c>
      <c r="I136" s="364">
        <v>83101</v>
      </c>
      <c r="J136" s="364">
        <v>20170101</v>
      </c>
      <c r="K136" s="364">
        <v>20190930</v>
      </c>
    </row>
    <row r="137" spans="2:11" x14ac:dyDescent="0.25">
      <c r="B137" s="364">
        <v>1</v>
      </c>
      <c r="C137" s="364" t="s">
        <v>321</v>
      </c>
      <c r="D137" s="364" t="s">
        <v>324</v>
      </c>
      <c r="E137" s="364">
        <v>100</v>
      </c>
      <c r="F137" s="364" t="s">
        <v>325</v>
      </c>
      <c r="G137" s="364" t="s">
        <v>1556</v>
      </c>
      <c r="H137" s="364" t="s">
        <v>1557</v>
      </c>
      <c r="I137" s="364">
        <v>83101</v>
      </c>
      <c r="J137" s="364">
        <v>20170101</v>
      </c>
      <c r="K137" s="364">
        <v>20190930</v>
      </c>
    </row>
    <row r="138" spans="2:11" x14ac:dyDescent="0.25">
      <c r="B138" s="364">
        <v>1</v>
      </c>
      <c r="C138" s="364" t="s">
        <v>321</v>
      </c>
      <c r="D138" s="364" t="s">
        <v>324</v>
      </c>
      <c r="E138" s="364">
        <v>100</v>
      </c>
      <c r="F138" s="364" t="s">
        <v>325</v>
      </c>
      <c r="G138" s="364" t="s">
        <v>1234</v>
      </c>
      <c r="H138" s="364" t="s">
        <v>775</v>
      </c>
      <c r="I138" s="364">
        <v>83101</v>
      </c>
      <c r="J138" s="364">
        <v>20170101</v>
      </c>
      <c r="K138" s="364">
        <v>20190930</v>
      </c>
    </row>
    <row r="139" spans="2:11" x14ac:dyDescent="0.25">
      <c r="B139" s="364">
        <v>1</v>
      </c>
      <c r="C139" s="364" t="s">
        <v>321</v>
      </c>
      <c r="D139" s="364" t="s">
        <v>324</v>
      </c>
      <c r="E139" s="364">
        <v>100</v>
      </c>
      <c r="F139" s="364" t="s">
        <v>325</v>
      </c>
      <c r="G139" s="364" t="s">
        <v>1269</v>
      </c>
      <c r="H139" s="364" t="s">
        <v>1270</v>
      </c>
      <c r="I139" s="364">
        <v>83101</v>
      </c>
      <c r="J139" s="364">
        <v>20170101</v>
      </c>
      <c r="K139" s="364">
        <v>20190930</v>
      </c>
    </row>
    <row r="140" spans="2:11" x14ac:dyDescent="0.25">
      <c r="B140" s="364">
        <v>1</v>
      </c>
      <c r="C140" s="364" t="s">
        <v>321</v>
      </c>
      <c r="D140" s="364" t="s">
        <v>324</v>
      </c>
      <c r="E140" s="364">
        <v>100</v>
      </c>
      <c r="F140" s="364" t="s">
        <v>325</v>
      </c>
      <c r="G140" s="364" t="s">
        <v>1238</v>
      </c>
      <c r="H140" s="364" t="s">
        <v>776</v>
      </c>
      <c r="I140" s="364">
        <v>83101</v>
      </c>
      <c r="J140" s="364">
        <v>20170101</v>
      </c>
      <c r="K140" s="364">
        <v>20190930</v>
      </c>
    </row>
    <row r="141" spans="2:11" x14ac:dyDescent="0.25">
      <c r="B141" s="364">
        <v>1</v>
      </c>
      <c r="C141" s="364" t="s">
        <v>321</v>
      </c>
      <c r="D141" s="364" t="s">
        <v>324</v>
      </c>
      <c r="E141" s="364">
        <v>100</v>
      </c>
      <c r="F141" s="364" t="s">
        <v>325</v>
      </c>
      <c r="G141" s="364" t="s">
        <v>1240</v>
      </c>
      <c r="H141" s="364" t="s">
        <v>777</v>
      </c>
      <c r="I141" s="364">
        <v>83101</v>
      </c>
      <c r="J141" s="364">
        <v>20170101</v>
      </c>
      <c r="K141" s="364">
        <v>20190930</v>
      </c>
    </row>
    <row r="142" spans="2:11" x14ac:dyDescent="0.25">
      <c r="B142" s="364">
        <v>1</v>
      </c>
      <c r="C142" s="364" t="s">
        <v>321</v>
      </c>
      <c r="D142" s="364" t="s">
        <v>324</v>
      </c>
      <c r="E142" s="364">
        <v>100</v>
      </c>
      <c r="F142" s="364" t="s">
        <v>325</v>
      </c>
      <c r="G142" s="364" t="s">
        <v>1241</v>
      </c>
      <c r="H142" s="364" t="s">
        <v>1271</v>
      </c>
      <c r="I142" s="364">
        <v>83101</v>
      </c>
      <c r="J142" s="364">
        <v>20170101</v>
      </c>
      <c r="K142" s="364">
        <v>20190930</v>
      </c>
    </row>
    <row r="143" spans="2:11" x14ac:dyDescent="0.25">
      <c r="B143" s="364">
        <v>1</v>
      </c>
      <c r="C143" s="364" t="s">
        <v>321</v>
      </c>
      <c r="D143" s="364" t="s">
        <v>324</v>
      </c>
      <c r="E143" s="364">
        <v>100</v>
      </c>
      <c r="F143" s="364" t="s">
        <v>325</v>
      </c>
      <c r="G143" s="364" t="s">
        <v>1224</v>
      </c>
      <c r="H143" s="364" t="s">
        <v>779</v>
      </c>
      <c r="I143" s="364">
        <v>83101</v>
      </c>
      <c r="J143" s="364">
        <v>20170101</v>
      </c>
      <c r="K143" s="364">
        <v>20190930</v>
      </c>
    </row>
    <row r="144" spans="2:11" x14ac:dyDescent="0.25">
      <c r="B144" s="364">
        <v>1</v>
      </c>
      <c r="C144" s="364" t="s">
        <v>321</v>
      </c>
      <c r="D144" s="364" t="s">
        <v>324</v>
      </c>
      <c r="E144" s="364">
        <v>100</v>
      </c>
      <c r="F144" s="364" t="s">
        <v>325</v>
      </c>
      <c r="G144" s="364" t="s">
        <v>1223</v>
      </c>
      <c r="H144" s="364" t="s">
        <v>1272</v>
      </c>
      <c r="I144" s="364">
        <v>83101</v>
      </c>
      <c r="J144" s="364">
        <v>20170101</v>
      </c>
      <c r="K144" s="364">
        <v>20190930</v>
      </c>
    </row>
    <row r="145" spans="2:11" x14ac:dyDescent="0.25">
      <c r="B145" s="364">
        <v>1</v>
      </c>
      <c r="C145" s="364" t="s">
        <v>321</v>
      </c>
      <c r="D145" s="364" t="s">
        <v>324</v>
      </c>
      <c r="E145" s="364">
        <v>100</v>
      </c>
      <c r="F145" s="364" t="s">
        <v>325</v>
      </c>
      <c r="G145" s="364" t="s">
        <v>1248</v>
      </c>
      <c r="H145" s="364" t="s">
        <v>1273</v>
      </c>
      <c r="I145" s="364">
        <v>83101</v>
      </c>
      <c r="J145" s="364">
        <v>20170101</v>
      </c>
      <c r="K145" s="364">
        <v>20190930</v>
      </c>
    </row>
    <row r="146" spans="2:11" x14ac:dyDescent="0.25">
      <c r="B146" s="364">
        <v>1</v>
      </c>
      <c r="C146" s="364" t="s">
        <v>321</v>
      </c>
      <c r="D146" s="364" t="s">
        <v>324</v>
      </c>
      <c r="E146" s="364">
        <v>100</v>
      </c>
      <c r="F146" s="364" t="s">
        <v>325</v>
      </c>
      <c r="G146" s="364" t="s">
        <v>1274</v>
      </c>
      <c r="H146" s="364" t="s">
        <v>1275</v>
      </c>
      <c r="I146" s="364">
        <v>83101</v>
      </c>
      <c r="J146" s="364">
        <v>20170101</v>
      </c>
      <c r="K146" s="364">
        <v>20190930</v>
      </c>
    </row>
    <row r="147" spans="2:11" x14ac:dyDescent="0.25">
      <c r="B147" s="364">
        <v>1</v>
      </c>
      <c r="C147" s="364" t="s">
        <v>321</v>
      </c>
      <c r="D147" s="364" t="s">
        <v>324</v>
      </c>
      <c r="E147" s="364">
        <v>100</v>
      </c>
      <c r="F147" s="364" t="s">
        <v>325</v>
      </c>
      <c r="G147" s="364" t="s">
        <v>1276</v>
      </c>
      <c r="H147" s="364" t="s">
        <v>1277</v>
      </c>
      <c r="I147" s="364">
        <v>83101</v>
      </c>
      <c r="J147" s="364">
        <v>20170101</v>
      </c>
      <c r="K147" s="364">
        <v>20190930</v>
      </c>
    </row>
    <row r="148" spans="2:11" x14ac:dyDescent="0.25">
      <c r="B148" s="364">
        <v>1</v>
      </c>
      <c r="C148" s="364" t="s">
        <v>321</v>
      </c>
      <c r="D148" s="364" t="s">
        <v>324</v>
      </c>
      <c r="E148" s="364">
        <v>100</v>
      </c>
      <c r="F148" s="364" t="s">
        <v>325</v>
      </c>
      <c r="G148" s="364" t="s">
        <v>1278</v>
      </c>
      <c r="H148" s="364" t="s">
        <v>1279</v>
      </c>
      <c r="I148" s="364">
        <v>83101</v>
      </c>
      <c r="J148" s="364">
        <v>20170101</v>
      </c>
      <c r="K148" s="364">
        <v>20190930</v>
      </c>
    </row>
    <row r="149" spans="2:11" x14ac:dyDescent="0.25">
      <c r="B149" s="364">
        <v>1</v>
      </c>
      <c r="C149" s="364" t="s">
        <v>321</v>
      </c>
      <c r="D149" s="364" t="s">
        <v>324</v>
      </c>
      <c r="E149" s="364">
        <v>100</v>
      </c>
      <c r="F149" s="364" t="s">
        <v>325</v>
      </c>
      <c r="G149" s="364" t="s">
        <v>1280</v>
      </c>
      <c r="H149" s="364" t="s">
        <v>1281</v>
      </c>
      <c r="I149" s="364">
        <v>83101</v>
      </c>
      <c r="J149" s="364">
        <v>20170101</v>
      </c>
      <c r="K149" s="364">
        <v>20190930</v>
      </c>
    </row>
    <row r="150" spans="2:11" x14ac:dyDescent="0.25">
      <c r="B150" s="364">
        <v>1</v>
      </c>
      <c r="C150" s="364" t="s">
        <v>321</v>
      </c>
      <c r="D150" s="364" t="s">
        <v>324</v>
      </c>
      <c r="E150" s="364">
        <v>100</v>
      </c>
      <c r="F150" s="364" t="s">
        <v>325</v>
      </c>
      <c r="G150" s="364" t="s">
        <v>1282</v>
      </c>
      <c r="H150" s="364" t="s">
        <v>1283</v>
      </c>
      <c r="I150" s="364">
        <v>83101</v>
      </c>
      <c r="J150" s="364">
        <v>20170101</v>
      </c>
      <c r="K150" s="364">
        <v>20190930</v>
      </c>
    </row>
    <row r="151" spans="2:11" x14ac:dyDescent="0.25">
      <c r="B151" s="364">
        <v>1</v>
      </c>
      <c r="C151" s="364" t="s">
        <v>321</v>
      </c>
      <c r="D151" s="364" t="s">
        <v>324</v>
      </c>
      <c r="E151" s="364">
        <v>100</v>
      </c>
      <c r="F151" s="364" t="s">
        <v>325</v>
      </c>
      <c r="G151" s="364" t="s">
        <v>1284</v>
      </c>
      <c r="H151" s="364" t="s">
        <v>1285</v>
      </c>
      <c r="I151" s="364">
        <v>83101</v>
      </c>
      <c r="J151" s="364">
        <v>20170101</v>
      </c>
      <c r="K151" s="364">
        <v>20190930</v>
      </c>
    </row>
    <row r="152" spans="2:11" x14ac:dyDescent="0.25">
      <c r="B152" s="364">
        <v>1</v>
      </c>
      <c r="C152" s="364" t="s">
        <v>321</v>
      </c>
      <c r="D152" s="364" t="s">
        <v>324</v>
      </c>
      <c r="E152" s="364">
        <v>100</v>
      </c>
      <c r="F152" s="364" t="s">
        <v>325</v>
      </c>
      <c r="G152" s="364" t="s">
        <v>1286</v>
      </c>
      <c r="H152" s="364" t="s">
        <v>1287</v>
      </c>
      <c r="I152" s="364">
        <v>83101</v>
      </c>
      <c r="J152" s="364">
        <v>20170101</v>
      </c>
      <c r="K152" s="364">
        <v>20190930</v>
      </c>
    </row>
    <row r="153" spans="2:11" x14ac:dyDescent="0.25">
      <c r="B153" s="364">
        <v>1</v>
      </c>
      <c r="C153" s="364" t="s">
        <v>321</v>
      </c>
      <c r="D153" s="364" t="s">
        <v>324</v>
      </c>
      <c r="E153" s="364">
        <v>100</v>
      </c>
      <c r="F153" s="364" t="s">
        <v>325</v>
      </c>
      <c r="G153" s="364" t="s">
        <v>1288</v>
      </c>
      <c r="H153" s="364" t="s">
        <v>1289</v>
      </c>
      <c r="I153" s="364">
        <v>83101</v>
      </c>
      <c r="J153" s="364">
        <v>20170101</v>
      </c>
      <c r="K153" s="364">
        <v>20190930</v>
      </c>
    </row>
    <row r="154" spans="2:11" x14ac:dyDescent="0.25">
      <c r="B154" s="364">
        <v>1</v>
      </c>
      <c r="C154" s="364" t="s">
        <v>321</v>
      </c>
      <c r="D154" s="364" t="s">
        <v>324</v>
      </c>
      <c r="E154" s="364">
        <v>100</v>
      </c>
      <c r="F154" s="364" t="s">
        <v>325</v>
      </c>
      <c r="G154" s="364" t="s">
        <v>1290</v>
      </c>
      <c r="H154" s="364" t="s">
        <v>1291</v>
      </c>
      <c r="I154" s="364">
        <v>83101</v>
      </c>
      <c r="J154" s="364">
        <v>20170101</v>
      </c>
      <c r="K154" s="364">
        <v>20190930</v>
      </c>
    </row>
    <row r="155" spans="2:11" x14ac:dyDescent="0.25">
      <c r="B155" s="364">
        <v>1</v>
      </c>
      <c r="C155" s="364" t="s">
        <v>321</v>
      </c>
      <c r="D155" s="364" t="s">
        <v>324</v>
      </c>
      <c r="E155" s="364">
        <v>100</v>
      </c>
      <c r="F155" s="364" t="s">
        <v>325</v>
      </c>
      <c r="G155" s="364" t="s">
        <v>1292</v>
      </c>
      <c r="H155" s="364" t="s">
        <v>1293</v>
      </c>
      <c r="I155" s="364">
        <v>83101</v>
      </c>
      <c r="J155" s="364">
        <v>20170101</v>
      </c>
      <c r="K155" s="364">
        <v>20190930</v>
      </c>
    </row>
    <row r="156" spans="2:11" x14ac:dyDescent="0.25">
      <c r="B156" s="364">
        <v>1</v>
      </c>
      <c r="C156" s="364" t="s">
        <v>321</v>
      </c>
      <c r="D156" s="364" t="s">
        <v>324</v>
      </c>
      <c r="E156" s="364">
        <v>100</v>
      </c>
      <c r="F156" s="364" t="s">
        <v>325</v>
      </c>
      <c r="G156" s="364" t="s">
        <v>1294</v>
      </c>
      <c r="H156" s="364" t="s">
        <v>1295</v>
      </c>
      <c r="I156" s="364">
        <v>83101</v>
      </c>
      <c r="J156" s="364">
        <v>20170101</v>
      </c>
      <c r="K156" s="364">
        <v>20190930</v>
      </c>
    </row>
    <row r="157" spans="2:11" x14ac:dyDescent="0.25">
      <c r="B157" s="364">
        <v>1</v>
      </c>
      <c r="C157" s="364" t="s">
        <v>321</v>
      </c>
      <c r="D157" s="364" t="s">
        <v>324</v>
      </c>
      <c r="E157" s="364">
        <v>100</v>
      </c>
      <c r="F157" s="364" t="s">
        <v>325</v>
      </c>
      <c r="G157" s="364" t="s">
        <v>1296</v>
      </c>
      <c r="H157" s="364" t="s">
        <v>1297</v>
      </c>
      <c r="I157" s="364">
        <v>83101</v>
      </c>
      <c r="J157" s="364">
        <v>20170101</v>
      </c>
      <c r="K157" s="364">
        <v>20190930</v>
      </c>
    </row>
    <row r="158" spans="2:11" x14ac:dyDescent="0.25">
      <c r="B158" s="364">
        <v>1</v>
      </c>
      <c r="C158" s="364" t="s">
        <v>321</v>
      </c>
      <c r="D158" s="364" t="s">
        <v>324</v>
      </c>
      <c r="E158" s="364">
        <v>100</v>
      </c>
      <c r="F158" s="364" t="s">
        <v>325</v>
      </c>
      <c r="G158" s="364" t="s">
        <v>1298</v>
      </c>
      <c r="H158" s="364" t="s">
        <v>1299</v>
      </c>
      <c r="I158" s="364">
        <v>83101</v>
      </c>
      <c r="J158" s="364">
        <v>20170101</v>
      </c>
      <c r="K158" s="364">
        <v>20190930</v>
      </c>
    </row>
    <row r="159" spans="2:11" x14ac:dyDescent="0.25">
      <c r="B159" s="364">
        <v>1</v>
      </c>
      <c r="C159" s="364" t="s">
        <v>321</v>
      </c>
      <c r="D159" s="364" t="s">
        <v>324</v>
      </c>
      <c r="E159" s="364">
        <v>100</v>
      </c>
      <c r="F159" s="364" t="s">
        <v>325</v>
      </c>
      <c r="G159" s="364" t="s">
        <v>1300</v>
      </c>
      <c r="H159" s="364" t="s">
        <v>1301</v>
      </c>
      <c r="I159" s="364">
        <v>83101</v>
      </c>
      <c r="J159" s="364">
        <v>20170101</v>
      </c>
      <c r="K159" s="364">
        <v>20190930</v>
      </c>
    </row>
    <row r="160" spans="2:11" x14ac:dyDescent="0.25">
      <c r="B160" s="364">
        <v>1</v>
      </c>
      <c r="C160" s="364" t="s">
        <v>321</v>
      </c>
      <c r="D160" s="364" t="s">
        <v>324</v>
      </c>
      <c r="E160" s="364">
        <v>100</v>
      </c>
      <c r="F160" s="364" t="s">
        <v>325</v>
      </c>
      <c r="G160" s="364" t="s">
        <v>1302</v>
      </c>
      <c r="H160" s="364" t="s">
        <v>1303</v>
      </c>
      <c r="I160" s="364">
        <v>83101</v>
      </c>
      <c r="J160" s="364">
        <v>20170101</v>
      </c>
      <c r="K160" s="364">
        <v>20190930</v>
      </c>
    </row>
    <row r="161" spans="2:11" x14ac:dyDescent="0.25">
      <c r="B161" s="364">
        <v>1</v>
      </c>
      <c r="C161" s="364" t="s">
        <v>321</v>
      </c>
      <c r="D161" s="364" t="s">
        <v>324</v>
      </c>
      <c r="E161" s="364">
        <v>100</v>
      </c>
      <c r="F161" s="364" t="s">
        <v>325</v>
      </c>
      <c r="G161" s="364" t="s">
        <v>1304</v>
      </c>
      <c r="H161" s="364" t="s">
        <v>1305</v>
      </c>
      <c r="I161" s="364">
        <v>83101</v>
      </c>
      <c r="J161" s="364">
        <v>20170101</v>
      </c>
      <c r="K161" s="364">
        <v>20190930</v>
      </c>
    </row>
    <row r="162" spans="2:11" x14ac:dyDescent="0.25">
      <c r="B162" s="364">
        <v>1</v>
      </c>
      <c r="C162" s="364" t="s">
        <v>321</v>
      </c>
      <c r="D162" s="364" t="s">
        <v>324</v>
      </c>
      <c r="E162" s="364">
        <v>100</v>
      </c>
      <c r="F162" s="364" t="s">
        <v>325</v>
      </c>
      <c r="G162" s="364" t="s">
        <v>1306</v>
      </c>
      <c r="H162" s="364" t="s">
        <v>1307</v>
      </c>
      <c r="I162" s="364">
        <v>83101</v>
      </c>
      <c r="J162" s="364">
        <v>20170101</v>
      </c>
      <c r="K162" s="364">
        <v>20190930</v>
      </c>
    </row>
    <row r="163" spans="2:11" x14ac:dyDescent="0.25">
      <c r="B163" s="364">
        <v>1</v>
      </c>
      <c r="C163" s="364" t="s">
        <v>321</v>
      </c>
      <c r="D163" s="364" t="s">
        <v>324</v>
      </c>
      <c r="E163" s="364">
        <v>100</v>
      </c>
      <c r="F163" s="364" t="s">
        <v>325</v>
      </c>
      <c r="G163" s="364" t="s">
        <v>1308</v>
      </c>
      <c r="H163" s="364" t="s">
        <v>1309</v>
      </c>
      <c r="I163" s="364">
        <v>83101</v>
      </c>
      <c r="J163" s="364">
        <v>20170101</v>
      </c>
      <c r="K163" s="364">
        <v>20190930</v>
      </c>
    </row>
    <row r="164" spans="2:11" x14ac:dyDescent="0.25">
      <c r="B164" s="364">
        <v>1</v>
      </c>
      <c r="C164" s="364" t="s">
        <v>321</v>
      </c>
      <c r="D164" s="364" t="s">
        <v>324</v>
      </c>
      <c r="E164" s="364">
        <v>100</v>
      </c>
      <c r="F164" s="364" t="s">
        <v>325</v>
      </c>
      <c r="G164" s="364" t="s">
        <v>1310</v>
      </c>
      <c r="H164" s="364" t="s">
        <v>1203</v>
      </c>
      <c r="I164" s="364">
        <v>83101</v>
      </c>
      <c r="J164" s="364">
        <v>20170101</v>
      </c>
      <c r="K164" s="364">
        <v>20190930</v>
      </c>
    </row>
    <row r="165" spans="2:11" x14ac:dyDescent="0.25">
      <c r="B165" s="364">
        <v>1</v>
      </c>
      <c r="C165" s="364" t="s">
        <v>321</v>
      </c>
      <c r="D165" s="364" t="s">
        <v>324</v>
      </c>
      <c r="E165" s="364">
        <v>100</v>
      </c>
      <c r="F165" s="364" t="s">
        <v>325</v>
      </c>
      <c r="G165" s="364" t="s">
        <v>1311</v>
      </c>
      <c r="H165" s="364" t="s">
        <v>1312</v>
      </c>
      <c r="I165" s="364">
        <v>83101</v>
      </c>
      <c r="J165" s="364">
        <v>20170101</v>
      </c>
      <c r="K165" s="364">
        <v>20190930</v>
      </c>
    </row>
    <row r="166" spans="2:11" x14ac:dyDescent="0.25">
      <c r="B166" s="364">
        <v>1</v>
      </c>
      <c r="C166" s="364" t="s">
        <v>321</v>
      </c>
      <c r="D166" s="364" t="s">
        <v>324</v>
      </c>
      <c r="E166" s="364">
        <v>100</v>
      </c>
      <c r="F166" s="364" t="s">
        <v>325</v>
      </c>
      <c r="G166" s="364" t="s">
        <v>1313</v>
      </c>
      <c r="H166" s="364" t="s">
        <v>1314</v>
      </c>
      <c r="I166" s="364">
        <v>83101</v>
      </c>
      <c r="J166" s="364">
        <v>20170101</v>
      </c>
      <c r="K166" s="364">
        <v>20190930</v>
      </c>
    </row>
    <row r="167" spans="2:11" x14ac:dyDescent="0.25">
      <c r="B167" s="364">
        <v>1</v>
      </c>
      <c r="C167" s="364" t="s">
        <v>321</v>
      </c>
      <c r="D167" s="364" t="s">
        <v>324</v>
      </c>
      <c r="E167" s="364">
        <v>100</v>
      </c>
      <c r="F167" s="364" t="s">
        <v>325</v>
      </c>
      <c r="G167" s="364" t="s">
        <v>1315</v>
      </c>
      <c r="H167" s="364" t="s">
        <v>1316</v>
      </c>
      <c r="I167" s="364">
        <v>83101</v>
      </c>
      <c r="J167" s="364">
        <v>20170101</v>
      </c>
      <c r="K167" s="364">
        <v>20190930</v>
      </c>
    </row>
    <row r="168" spans="2:11" x14ac:dyDescent="0.25">
      <c r="B168" s="364">
        <v>1</v>
      </c>
      <c r="C168" s="364" t="s">
        <v>321</v>
      </c>
      <c r="D168" s="364" t="s">
        <v>324</v>
      </c>
      <c r="E168" s="364">
        <v>100</v>
      </c>
      <c r="F168" s="364" t="s">
        <v>325</v>
      </c>
      <c r="G168" s="364" t="s">
        <v>1317</v>
      </c>
      <c r="H168" s="364" t="s">
        <v>1318</v>
      </c>
      <c r="I168" s="364">
        <v>83101</v>
      </c>
      <c r="J168" s="364">
        <v>20170101</v>
      </c>
      <c r="K168" s="364">
        <v>20190930</v>
      </c>
    </row>
    <row r="169" spans="2:11" x14ac:dyDescent="0.25">
      <c r="B169" s="364">
        <v>1</v>
      </c>
      <c r="C169" s="364" t="s">
        <v>321</v>
      </c>
      <c r="D169" s="364" t="s">
        <v>324</v>
      </c>
      <c r="E169" s="364">
        <v>100</v>
      </c>
      <c r="F169" s="364" t="s">
        <v>325</v>
      </c>
      <c r="G169" s="364" t="s">
        <v>1319</v>
      </c>
      <c r="H169" s="364" t="s">
        <v>1320</v>
      </c>
      <c r="I169" s="364">
        <v>83101</v>
      </c>
      <c r="J169" s="364">
        <v>20170101</v>
      </c>
      <c r="K169" s="364">
        <v>20190930</v>
      </c>
    </row>
    <row r="170" spans="2:11" x14ac:dyDescent="0.25">
      <c r="B170" s="364">
        <v>1</v>
      </c>
      <c r="C170" s="364" t="s">
        <v>321</v>
      </c>
      <c r="D170" s="364" t="s">
        <v>324</v>
      </c>
      <c r="E170" s="364">
        <v>100</v>
      </c>
      <c r="F170" s="364" t="s">
        <v>325</v>
      </c>
      <c r="G170" s="364" t="s">
        <v>1246</v>
      </c>
      <c r="H170" s="364" t="s">
        <v>785</v>
      </c>
      <c r="I170" s="364">
        <v>83101</v>
      </c>
      <c r="J170" s="364">
        <v>20170101</v>
      </c>
      <c r="K170" s="364">
        <v>20190930</v>
      </c>
    </row>
    <row r="171" spans="2:11" x14ac:dyDescent="0.25">
      <c r="B171" s="364">
        <v>1</v>
      </c>
      <c r="C171" s="364" t="s">
        <v>321</v>
      </c>
      <c r="D171" s="364" t="s">
        <v>324</v>
      </c>
      <c r="E171" s="364">
        <v>100</v>
      </c>
      <c r="F171" s="364" t="s">
        <v>325</v>
      </c>
      <c r="G171" s="364" t="s">
        <v>1212</v>
      </c>
      <c r="H171" s="364" t="s">
        <v>847</v>
      </c>
      <c r="I171" s="364">
        <v>83101</v>
      </c>
      <c r="J171" s="364">
        <v>20170101</v>
      </c>
      <c r="K171" s="364">
        <v>20190930</v>
      </c>
    </row>
    <row r="172" spans="2:11" x14ac:dyDescent="0.25">
      <c r="B172" s="364">
        <v>1</v>
      </c>
      <c r="C172" s="364" t="s">
        <v>321</v>
      </c>
      <c r="D172" s="364" t="s">
        <v>324</v>
      </c>
      <c r="E172" s="364">
        <v>100</v>
      </c>
      <c r="F172" s="364" t="s">
        <v>325</v>
      </c>
      <c r="G172" s="364" t="s">
        <v>1321</v>
      </c>
      <c r="H172" s="364" t="s">
        <v>1322</v>
      </c>
      <c r="I172" s="364">
        <v>83101</v>
      </c>
      <c r="J172" s="364">
        <v>20170101</v>
      </c>
      <c r="K172" s="364">
        <v>20190930</v>
      </c>
    </row>
    <row r="173" spans="2:11" x14ac:dyDescent="0.25">
      <c r="B173" s="364">
        <v>1</v>
      </c>
      <c r="C173" s="364" t="s">
        <v>321</v>
      </c>
      <c r="D173" s="364" t="s">
        <v>324</v>
      </c>
      <c r="E173" s="364">
        <v>100</v>
      </c>
      <c r="F173" s="364" t="s">
        <v>325</v>
      </c>
      <c r="G173" s="364" t="s">
        <v>1323</v>
      </c>
      <c r="H173" s="364" t="s">
        <v>1324</v>
      </c>
      <c r="I173" s="364">
        <v>83101</v>
      </c>
      <c r="J173" s="364">
        <v>20170101</v>
      </c>
      <c r="K173" s="364">
        <v>20190930</v>
      </c>
    </row>
    <row r="174" spans="2:11" x14ac:dyDescent="0.25">
      <c r="B174" s="364">
        <v>1</v>
      </c>
      <c r="C174" s="364" t="s">
        <v>321</v>
      </c>
      <c r="D174" s="364" t="s">
        <v>324</v>
      </c>
      <c r="E174" s="364">
        <v>100</v>
      </c>
      <c r="F174" s="364" t="s">
        <v>325</v>
      </c>
      <c r="G174" s="364" t="s">
        <v>1325</v>
      </c>
      <c r="H174" s="364" t="s">
        <v>1326</v>
      </c>
      <c r="I174" s="364">
        <v>83101</v>
      </c>
      <c r="J174" s="364">
        <v>20170101</v>
      </c>
      <c r="K174" s="364">
        <v>20190930</v>
      </c>
    </row>
    <row r="175" spans="2:11" x14ac:dyDescent="0.25">
      <c r="B175" s="364">
        <v>1</v>
      </c>
      <c r="C175" s="364" t="s">
        <v>321</v>
      </c>
      <c r="D175" s="364" t="s">
        <v>324</v>
      </c>
      <c r="E175" s="364">
        <v>100</v>
      </c>
      <c r="F175" s="364" t="s">
        <v>325</v>
      </c>
      <c r="G175" s="364" t="s">
        <v>1327</v>
      </c>
      <c r="H175" s="364" t="s">
        <v>1328</v>
      </c>
      <c r="I175" s="364">
        <v>83101</v>
      </c>
      <c r="J175" s="364">
        <v>20170101</v>
      </c>
      <c r="K175" s="364">
        <v>20190930</v>
      </c>
    </row>
    <row r="176" spans="2:11" x14ac:dyDescent="0.25">
      <c r="B176" s="364">
        <v>1</v>
      </c>
      <c r="C176" s="364" t="s">
        <v>321</v>
      </c>
      <c r="D176" s="364" t="s">
        <v>324</v>
      </c>
      <c r="E176" s="364">
        <v>100</v>
      </c>
      <c r="F176" s="364" t="s">
        <v>325</v>
      </c>
      <c r="G176" s="364" t="s">
        <v>1329</v>
      </c>
      <c r="H176" s="364" t="s">
        <v>1330</v>
      </c>
      <c r="I176" s="364">
        <v>83101</v>
      </c>
      <c r="J176" s="364">
        <v>20170101</v>
      </c>
      <c r="K176" s="364">
        <v>20190930</v>
      </c>
    </row>
    <row r="177" spans="2:11" x14ac:dyDescent="0.25">
      <c r="B177" s="364">
        <v>1</v>
      </c>
      <c r="C177" s="364" t="s">
        <v>321</v>
      </c>
      <c r="D177" s="364" t="s">
        <v>324</v>
      </c>
      <c r="E177" s="364">
        <v>100</v>
      </c>
      <c r="F177" s="364" t="s">
        <v>325</v>
      </c>
      <c r="G177" s="364" t="s">
        <v>1331</v>
      </c>
      <c r="H177" s="364" t="s">
        <v>1332</v>
      </c>
      <c r="I177" s="364">
        <v>83101</v>
      </c>
      <c r="J177" s="364">
        <v>20170101</v>
      </c>
      <c r="K177" s="364">
        <v>20190930</v>
      </c>
    </row>
    <row r="178" spans="2:11" x14ac:dyDescent="0.25">
      <c r="B178" s="364">
        <v>1</v>
      </c>
      <c r="C178" s="364" t="s">
        <v>321</v>
      </c>
      <c r="D178" s="364" t="s">
        <v>324</v>
      </c>
      <c r="E178" s="364">
        <v>100</v>
      </c>
      <c r="F178" s="364" t="s">
        <v>325</v>
      </c>
      <c r="G178" s="364" t="s">
        <v>1211</v>
      </c>
      <c r="H178" s="364" t="s">
        <v>1333</v>
      </c>
      <c r="I178" s="364">
        <v>83101</v>
      </c>
      <c r="J178" s="364">
        <v>20170101</v>
      </c>
      <c r="K178" s="364">
        <v>20190930</v>
      </c>
    </row>
    <row r="179" spans="2:11" x14ac:dyDescent="0.25">
      <c r="B179" s="364">
        <v>1</v>
      </c>
      <c r="C179" s="364" t="s">
        <v>321</v>
      </c>
      <c r="D179" s="364" t="s">
        <v>324</v>
      </c>
      <c r="E179" s="364">
        <v>100</v>
      </c>
      <c r="F179" s="364" t="s">
        <v>325</v>
      </c>
      <c r="G179" s="364" t="s">
        <v>1334</v>
      </c>
      <c r="H179" s="364" t="s">
        <v>778</v>
      </c>
      <c r="I179" s="364">
        <v>83101</v>
      </c>
      <c r="J179" s="364">
        <v>20170101</v>
      </c>
      <c r="K179" s="364">
        <v>20190930</v>
      </c>
    </row>
    <row r="180" spans="2:11" x14ac:dyDescent="0.25">
      <c r="B180" s="364">
        <v>1</v>
      </c>
      <c r="C180" s="364" t="s">
        <v>321</v>
      </c>
      <c r="D180" s="364" t="s">
        <v>324</v>
      </c>
      <c r="E180" s="364">
        <v>100</v>
      </c>
      <c r="F180" s="364" t="s">
        <v>325</v>
      </c>
      <c r="G180" s="364" t="s">
        <v>1398</v>
      </c>
      <c r="H180" s="364" t="s">
        <v>1399</v>
      </c>
      <c r="I180" s="364">
        <v>83101</v>
      </c>
      <c r="J180" s="364">
        <v>20170101</v>
      </c>
      <c r="K180" s="364">
        <v>20190930</v>
      </c>
    </row>
    <row r="181" spans="2:11" x14ac:dyDescent="0.25">
      <c r="B181" s="364">
        <v>1</v>
      </c>
      <c r="C181" s="364" t="s">
        <v>321</v>
      </c>
      <c r="D181" s="364" t="s">
        <v>324</v>
      </c>
      <c r="E181" s="364">
        <v>100</v>
      </c>
      <c r="F181" s="364" t="s">
        <v>325</v>
      </c>
      <c r="G181" s="364" t="s">
        <v>1216</v>
      </c>
      <c r="H181" s="364" t="s">
        <v>1335</v>
      </c>
      <c r="I181" s="364">
        <v>83101</v>
      </c>
      <c r="J181" s="364">
        <v>20170101</v>
      </c>
      <c r="K181" s="364">
        <v>20190930</v>
      </c>
    </row>
    <row r="182" spans="2:11" x14ac:dyDescent="0.25">
      <c r="B182" s="364">
        <v>1</v>
      </c>
      <c r="C182" s="364" t="s">
        <v>321</v>
      </c>
      <c r="D182" s="364" t="s">
        <v>324</v>
      </c>
      <c r="E182" s="364">
        <v>100</v>
      </c>
      <c r="F182" s="364" t="s">
        <v>325</v>
      </c>
      <c r="G182" s="364" t="s">
        <v>1243</v>
      </c>
      <c r="H182" s="364" t="s">
        <v>1336</v>
      </c>
      <c r="I182" s="364">
        <v>83101</v>
      </c>
      <c r="J182" s="364">
        <v>20170101</v>
      </c>
      <c r="K182" s="364">
        <v>20190930</v>
      </c>
    </row>
    <row r="183" spans="2:11" x14ac:dyDescent="0.25">
      <c r="B183" s="364">
        <v>1</v>
      </c>
      <c r="C183" s="364" t="s">
        <v>321</v>
      </c>
      <c r="D183" s="364" t="s">
        <v>324</v>
      </c>
      <c r="E183" s="364">
        <v>100</v>
      </c>
      <c r="F183" s="364" t="s">
        <v>325</v>
      </c>
      <c r="G183" s="364" t="s">
        <v>1244</v>
      </c>
      <c r="H183" s="364" t="s">
        <v>1479</v>
      </c>
      <c r="I183" s="364">
        <v>83101</v>
      </c>
      <c r="J183" s="364">
        <v>20170101</v>
      </c>
      <c r="K183" s="364">
        <v>20190930</v>
      </c>
    </row>
    <row r="184" spans="2:11" x14ac:dyDescent="0.25">
      <c r="B184" s="364">
        <v>1</v>
      </c>
      <c r="C184" s="364" t="s">
        <v>321</v>
      </c>
      <c r="D184" s="364" t="s">
        <v>324</v>
      </c>
      <c r="E184" s="364">
        <v>100</v>
      </c>
      <c r="F184" s="364" t="s">
        <v>325</v>
      </c>
      <c r="G184" s="364" t="s">
        <v>1337</v>
      </c>
      <c r="H184" s="364" t="s">
        <v>1558</v>
      </c>
      <c r="I184" s="364">
        <v>83101</v>
      </c>
      <c r="J184" s="364">
        <v>20170101</v>
      </c>
      <c r="K184" s="364">
        <v>20190930</v>
      </c>
    </row>
    <row r="185" spans="2:11" x14ac:dyDescent="0.25">
      <c r="B185" s="364">
        <v>1</v>
      </c>
      <c r="C185" s="364" t="s">
        <v>321</v>
      </c>
      <c r="D185" s="364" t="s">
        <v>324</v>
      </c>
      <c r="E185" s="364">
        <v>100</v>
      </c>
      <c r="F185" s="364" t="s">
        <v>325</v>
      </c>
      <c r="G185" s="364" t="s">
        <v>1339</v>
      </c>
      <c r="H185" s="364" t="s">
        <v>1338</v>
      </c>
      <c r="I185" s="364">
        <v>83101</v>
      </c>
      <c r="J185" s="364">
        <v>20170101</v>
      </c>
      <c r="K185" s="364">
        <v>20190930</v>
      </c>
    </row>
    <row r="186" spans="2:11" x14ac:dyDescent="0.25">
      <c r="B186" s="364">
        <v>1</v>
      </c>
      <c r="C186" s="364" t="s">
        <v>321</v>
      </c>
      <c r="D186" s="364" t="s">
        <v>324</v>
      </c>
      <c r="E186" s="364">
        <v>100</v>
      </c>
      <c r="F186" s="364" t="s">
        <v>325</v>
      </c>
      <c r="G186" s="364" t="s">
        <v>1340</v>
      </c>
      <c r="H186" s="364" t="s">
        <v>1338</v>
      </c>
      <c r="I186" s="364">
        <v>83101</v>
      </c>
      <c r="J186" s="364">
        <v>20170101</v>
      </c>
      <c r="K186" s="364">
        <v>20190930</v>
      </c>
    </row>
    <row r="187" spans="2:11" x14ac:dyDescent="0.25">
      <c r="B187" s="364">
        <v>1</v>
      </c>
      <c r="C187" s="364" t="s">
        <v>321</v>
      </c>
      <c r="D187" s="364" t="s">
        <v>324</v>
      </c>
      <c r="E187" s="364">
        <v>100</v>
      </c>
      <c r="F187" s="364" t="s">
        <v>325</v>
      </c>
      <c r="G187" s="364" t="s">
        <v>1480</v>
      </c>
      <c r="H187" s="364" t="s">
        <v>1481</v>
      </c>
      <c r="I187" s="364">
        <v>83101</v>
      </c>
      <c r="J187" s="364">
        <v>20170101</v>
      </c>
      <c r="K187" s="364">
        <v>20190930</v>
      </c>
    </row>
    <row r="188" spans="2:11" x14ac:dyDescent="0.25">
      <c r="B188" s="364">
        <v>1</v>
      </c>
      <c r="C188" s="364" t="s">
        <v>321</v>
      </c>
      <c r="D188" s="364" t="s">
        <v>324</v>
      </c>
      <c r="E188" s="364">
        <v>100</v>
      </c>
      <c r="F188" s="364" t="s">
        <v>325</v>
      </c>
      <c r="G188" s="364" t="s">
        <v>1207</v>
      </c>
      <c r="H188" s="364" t="s">
        <v>1416</v>
      </c>
      <c r="I188" s="364">
        <v>83101</v>
      </c>
      <c r="J188" s="364">
        <v>20170101</v>
      </c>
      <c r="K188" s="364">
        <v>20190930</v>
      </c>
    </row>
    <row r="189" spans="2:11" x14ac:dyDescent="0.25">
      <c r="B189" s="364">
        <v>1</v>
      </c>
      <c r="C189" s="364" t="s">
        <v>321</v>
      </c>
      <c r="D189" s="364" t="s">
        <v>324</v>
      </c>
      <c r="E189" s="364">
        <v>100</v>
      </c>
      <c r="F189" s="364" t="s">
        <v>325</v>
      </c>
      <c r="G189" s="364" t="s">
        <v>1417</v>
      </c>
      <c r="H189" s="364" t="s">
        <v>1559</v>
      </c>
      <c r="I189" s="364">
        <v>83101</v>
      </c>
      <c r="J189" s="364">
        <v>20170101</v>
      </c>
      <c r="K189" s="364">
        <v>20190930</v>
      </c>
    </row>
    <row r="190" spans="2:11" x14ac:dyDescent="0.25">
      <c r="B190" s="47" t="s">
        <v>152</v>
      </c>
      <c r="C190" s="48"/>
      <c r="D190" s="48"/>
      <c r="E190" s="48"/>
      <c r="F190" s="222"/>
      <c r="G190" s="49"/>
      <c r="H190" s="48"/>
      <c r="I190" s="48"/>
      <c r="J190" s="48"/>
      <c r="K190" s="48"/>
    </row>
    <row r="191" spans="2:11" x14ac:dyDescent="0.25">
      <c r="B191" s="48">
        <f>SUM(Tabla17[Identificador origen presupuestal de la plaza])</f>
        <v>174</v>
      </c>
      <c r="C191" s="48"/>
      <c r="D191" s="48"/>
      <c r="E191" s="48"/>
      <c r="F191" s="48"/>
      <c r="G191" s="48"/>
      <c r="H191" s="48"/>
      <c r="I191" s="48"/>
      <c r="J191" s="48"/>
      <c r="K191" s="48"/>
    </row>
  </sheetData>
  <mergeCells count="2">
    <mergeCell ref="B10:H10"/>
    <mergeCell ref="J9:K9"/>
  </mergeCells>
  <dataValidations disablePrompts="1" count="1">
    <dataValidation allowBlank="1" showInputMessage="1" showErrorMessage="1" sqref="J10 B10:H10"/>
  </dataValidations>
  <printOptions horizontalCentered="1"/>
  <pageMargins left="0.23622047244094491" right="0.23622047244094491" top="0.15748031496062992" bottom="1.7716535433070868" header="0" footer="0"/>
  <pageSetup paperSize="14" scale="59"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8"/>
  <sheetViews>
    <sheetView showGridLines="0" view="pageLayout" zoomScaleNormal="80" workbookViewId="0">
      <selection activeCell="F79" sqref="F79"/>
    </sheetView>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85"/>
      <c r="H2" s="185"/>
    </row>
    <row r="3" spans="2:9" ht="15" customHeight="1" x14ac:dyDescent="0.25">
      <c r="G3" s="185"/>
      <c r="H3" s="185"/>
    </row>
    <row r="4" spans="2:9" ht="15" customHeight="1" x14ac:dyDescent="0.3">
      <c r="G4" s="185"/>
      <c r="H4" s="368"/>
    </row>
    <row r="5" spans="2:9" ht="15" customHeight="1" x14ac:dyDescent="0.25">
      <c r="G5" s="185"/>
      <c r="H5" s="185"/>
    </row>
    <row r="6" spans="2:9" ht="15" customHeight="1" x14ac:dyDescent="0.25">
      <c r="G6" s="185"/>
      <c r="H6" s="185"/>
    </row>
    <row r="7" spans="2:9" ht="15" customHeight="1" x14ac:dyDescent="0.25">
      <c r="G7" s="185"/>
      <c r="H7" s="185"/>
    </row>
    <row r="8" spans="2:9" ht="15" customHeight="1" x14ac:dyDescent="0.25"/>
    <row r="9" spans="2:9" ht="18.75" x14ac:dyDescent="0.3">
      <c r="B9" s="41" t="s">
        <v>303</v>
      </c>
      <c r="C9" s="42"/>
      <c r="D9" s="42"/>
      <c r="E9" s="42"/>
      <c r="F9" s="42"/>
      <c r="G9" s="264" t="str">
        <f>'A Y  II D3'!W9</f>
        <v>Entidad Federativa:</v>
      </c>
      <c r="H9" s="43" t="str">
        <f>'A Y  II D3'!X9</f>
        <v>GUANAJUATO</v>
      </c>
    </row>
    <row r="10" spans="2:9" ht="18.75" x14ac:dyDescent="0.3">
      <c r="B10" s="418" t="str">
        <f>'A Y  II D3'!B10:N10</f>
        <v>Fondo de Aportaciones para la Educación Tecnológica y de Adultos/Instituto Nacional para la Educación de los Adultos (FAETA/INEA)</v>
      </c>
      <c r="C10" s="419"/>
      <c r="D10" s="419"/>
      <c r="E10" s="419"/>
      <c r="F10" s="419"/>
      <c r="G10" s="262"/>
      <c r="H10" s="45" t="str">
        <f>'A Y  II D3'!X10</f>
        <v>3er. Trimestre 2019</v>
      </c>
      <c r="I10" s="254"/>
    </row>
    <row r="11" spans="2:9" x14ac:dyDescent="0.25">
      <c r="B11" s="37"/>
      <c r="C11" s="38"/>
      <c r="D11" s="38"/>
      <c r="E11" s="38"/>
      <c r="F11" s="38"/>
      <c r="G11" s="38"/>
      <c r="H11" s="46"/>
    </row>
    <row r="12" spans="2:9" ht="5.0999999999999996" customHeight="1" x14ac:dyDescent="0.25"/>
    <row r="13" spans="2:9" ht="15" customHeight="1" x14ac:dyDescent="0.25">
      <c r="B13" s="467" t="s">
        <v>0</v>
      </c>
      <c r="C13" s="467" t="s">
        <v>17</v>
      </c>
      <c r="D13" s="467" t="s">
        <v>18</v>
      </c>
      <c r="E13" s="445" t="s">
        <v>113</v>
      </c>
      <c r="F13" s="471" t="s">
        <v>114</v>
      </c>
      <c r="G13" s="471"/>
      <c r="H13" s="471"/>
    </row>
    <row r="14" spans="2:9" ht="30" customHeight="1" x14ac:dyDescent="0.25">
      <c r="B14" s="468"/>
      <c r="C14" s="468"/>
      <c r="D14" s="468"/>
      <c r="E14" s="470"/>
      <c r="F14" s="439" t="s">
        <v>116</v>
      </c>
      <c r="G14" s="439" t="s">
        <v>115</v>
      </c>
      <c r="H14" s="439" t="s">
        <v>117</v>
      </c>
    </row>
    <row r="15" spans="2:9" x14ac:dyDescent="0.25">
      <c r="B15" s="469"/>
      <c r="C15" s="469"/>
      <c r="D15" s="469"/>
      <c r="E15" s="446"/>
      <c r="F15" s="439"/>
      <c r="G15" s="439"/>
      <c r="H15" s="439"/>
    </row>
    <row r="16" spans="2:9" ht="5.0999999999999996" customHeight="1" x14ac:dyDescent="0.25">
      <c r="G16" s="7"/>
      <c r="H16" s="7"/>
    </row>
    <row r="17" spans="2:8" s="48" customFormat="1" ht="12.75" hidden="1" x14ac:dyDescent="0.2">
      <c r="B17" s="217" t="s">
        <v>0</v>
      </c>
      <c r="C17" s="217" t="s">
        <v>17</v>
      </c>
      <c r="D17" s="217" t="s">
        <v>18</v>
      </c>
      <c r="E17" s="212" t="s">
        <v>113</v>
      </c>
      <c r="F17" s="212" t="s">
        <v>116</v>
      </c>
      <c r="G17" s="212" t="s">
        <v>115</v>
      </c>
      <c r="H17" s="212" t="s">
        <v>117</v>
      </c>
    </row>
    <row r="18" spans="2:8" s="48" customFormat="1" ht="15.75" x14ac:dyDescent="0.25">
      <c r="B18" s="359"/>
      <c r="C18" s="359"/>
      <c r="D18" s="359"/>
      <c r="E18" s="360"/>
      <c r="F18" s="361"/>
      <c r="G18" s="361"/>
      <c r="H18" s="361"/>
    </row>
    <row r="19" spans="2:8" s="48" customFormat="1" ht="15.75" x14ac:dyDescent="0.25">
      <c r="B19" s="359"/>
      <c r="C19" s="359"/>
      <c r="D19" s="359"/>
      <c r="E19" s="360"/>
      <c r="F19" s="361"/>
      <c r="G19" s="361"/>
      <c r="H19" s="361"/>
    </row>
    <row r="20" spans="2:8" s="48" customFormat="1" ht="15.75" x14ac:dyDescent="0.25">
      <c r="B20" s="359"/>
      <c r="C20" s="359"/>
      <c r="D20" s="359"/>
      <c r="E20" s="360"/>
      <c r="F20" s="361"/>
      <c r="G20" s="361"/>
      <c r="H20" s="361"/>
    </row>
    <row r="21" spans="2:8" s="48" customFormat="1" ht="15.75" x14ac:dyDescent="0.25">
      <c r="B21" s="359"/>
      <c r="C21" s="359"/>
      <c r="D21" s="359"/>
      <c r="E21" s="360"/>
      <c r="F21" s="361"/>
      <c r="G21" s="361"/>
      <c r="H21" s="361"/>
    </row>
    <row r="22" spans="2:8" s="48" customFormat="1" ht="15.75" x14ac:dyDescent="0.25">
      <c r="B22" s="282"/>
      <c r="C22" s="282"/>
      <c r="D22" s="282"/>
      <c r="E22" s="250"/>
      <c r="F22" s="260"/>
      <c r="G22" s="260"/>
      <c r="H22" s="260"/>
    </row>
    <row r="23" spans="2:8" x14ac:dyDescent="0.25">
      <c r="B23" s="253" t="s">
        <v>136</v>
      </c>
      <c r="C23" s="249"/>
      <c r="D23" s="99"/>
      <c r="E23" s="176" t="s">
        <v>197</v>
      </c>
      <c r="F23" s="135"/>
      <c r="G23" s="177"/>
      <c r="H23" s="178"/>
    </row>
    <row r="24" spans="2:8" x14ac:dyDescent="0.25">
      <c r="B24" s="106"/>
      <c r="C24" s="184"/>
      <c r="D24" s="75"/>
      <c r="E24" s="179"/>
      <c r="F24" s="179" t="s">
        <v>198</v>
      </c>
      <c r="G24" s="116"/>
      <c r="H24" s="180"/>
    </row>
    <row r="25" spans="2:8" x14ac:dyDescent="0.25">
      <c r="B25" s="174"/>
      <c r="C25" s="175"/>
      <c r="D25" s="239"/>
      <c r="E25" s="181"/>
      <c r="F25" s="182"/>
      <c r="G25" s="183" t="s">
        <v>199</v>
      </c>
      <c r="H25" s="243"/>
    </row>
    <row r="26" spans="2:8" x14ac:dyDescent="0.25">
      <c r="B26" s="47" t="s">
        <v>152</v>
      </c>
      <c r="C26" s="48"/>
      <c r="D26" s="48"/>
      <c r="E26" s="222"/>
      <c r="F26" s="49"/>
      <c r="G26" s="48"/>
      <c r="H26" s="48"/>
    </row>
    <row r="28" spans="2:8" x14ac:dyDescent="0.25">
      <c r="B28" s="76"/>
      <c r="C28" s="76"/>
      <c r="D28" s="76"/>
      <c r="E28" s="76"/>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5354330708661419" header="0" footer="0"/>
  <pageSetup paperSize="14" scale="64"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6"/>
  <sheetViews>
    <sheetView showGridLines="0" view="pageLayout" topLeftCell="A56" zoomScale="90" zoomScaleNormal="80" zoomScalePageLayoutView="90" workbookViewId="0">
      <selection activeCell="F79" sqref="F79"/>
    </sheetView>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1" t="s">
        <v>153</v>
      </c>
      <c r="C9" s="42"/>
      <c r="D9" s="42"/>
      <c r="E9" s="42"/>
      <c r="F9" s="42"/>
      <c r="G9" s="42"/>
      <c r="H9" s="42"/>
      <c r="I9" s="42"/>
      <c r="J9" s="42"/>
      <c r="K9" s="42"/>
      <c r="L9" s="42"/>
      <c r="M9" s="42"/>
      <c r="N9" s="42"/>
      <c r="O9" s="42"/>
      <c r="P9" s="42"/>
      <c r="Q9" s="42"/>
      <c r="R9" s="264" t="str">
        <f>'A Y  II D3'!W9</f>
        <v>Entidad Federativa:</v>
      </c>
      <c r="S9" s="43" t="str">
        <f>'A Y  II D3'!X9</f>
        <v>GUANAJUATO</v>
      </c>
    </row>
    <row r="10" spans="2:19" ht="18.75" x14ac:dyDescent="0.3">
      <c r="B10" s="418" t="str">
        <f>'A Y  II D3'!B10:N10</f>
        <v>Fondo de Aportaciones para la Educación Tecnológica y de Adultos/Instituto Nacional para la Educación de los Adultos (FAETA/INEA)</v>
      </c>
      <c r="C10" s="419"/>
      <c r="D10" s="419"/>
      <c r="E10" s="419"/>
      <c r="F10" s="419"/>
      <c r="G10" s="419"/>
      <c r="H10" s="259"/>
      <c r="I10" s="259"/>
      <c r="J10" s="44"/>
      <c r="K10" s="44"/>
      <c r="L10" s="44"/>
      <c r="M10" s="44"/>
      <c r="N10" s="44"/>
      <c r="O10" s="44"/>
      <c r="P10" s="44"/>
      <c r="Q10" s="44"/>
      <c r="R10" s="372" t="str">
        <f>'A Y  II D3'!X10</f>
        <v>3er. Trimestre 2019</v>
      </c>
      <c r="S10" s="366"/>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3">
      <c r="B12" s="36"/>
    </row>
    <row r="13" spans="2:19" ht="15" customHeight="1" x14ac:dyDescent="0.25">
      <c r="B13" s="412" t="s">
        <v>0</v>
      </c>
      <c r="C13" s="461" t="s">
        <v>128</v>
      </c>
      <c r="D13" s="461" t="s">
        <v>129</v>
      </c>
      <c r="E13" s="461" t="s">
        <v>17</v>
      </c>
      <c r="F13" s="461" t="s">
        <v>18</v>
      </c>
      <c r="G13" s="458" t="s">
        <v>130</v>
      </c>
      <c r="H13" s="412" t="s">
        <v>45</v>
      </c>
      <c r="I13" s="472" t="s">
        <v>36</v>
      </c>
      <c r="J13" s="472"/>
      <c r="K13" s="472"/>
      <c r="L13" s="472"/>
      <c r="M13" s="472"/>
      <c r="N13" s="472"/>
      <c r="O13" s="472"/>
      <c r="P13" s="461" t="s">
        <v>14</v>
      </c>
      <c r="Q13" s="461" t="s">
        <v>120</v>
      </c>
      <c r="R13" s="472" t="s">
        <v>131</v>
      </c>
      <c r="S13" s="472"/>
    </row>
    <row r="14" spans="2:19" ht="66.2" customHeight="1" x14ac:dyDescent="0.25">
      <c r="B14" s="412"/>
      <c r="C14" s="461"/>
      <c r="D14" s="461"/>
      <c r="E14" s="461"/>
      <c r="F14" s="461"/>
      <c r="G14" s="458"/>
      <c r="H14" s="412"/>
      <c r="I14" s="283" t="s">
        <v>33</v>
      </c>
      <c r="J14" s="283" t="s">
        <v>32</v>
      </c>
      <c r="K14" s="283" t="s">
        <v>31</v>
      </c>
      <c r="L14" s="283" t="s">
        <v>30</v>
      </c>
      <c r="M14" s="283" t="s">
        <v>29</v>
      </c>
      <c r="N14" s="284" t="s">
        <v>54</v>
      </c>
      <c r="O14" s="283" t="s">
        <v>55</v>
      </c>
      <c r="P14" s="461"/>
      <c r="Q14" s="461"/>
      <c r="R14" s="289" t="s">
        <v>123</v>
      </c>
      <c r="S14" s="289" t="s">
        <v>124</v>
      </c>
    </row>
    <row r="15" spans="2:19" ht="5.0999999999999996" customHeight="1" x14ac:dyDescent="0.25">
      <c r="C15" s="2"/>
    </row>
    <row r="16" spans="2:19" ht="45" hidden="1" x14ac:dyDescent="0.25">
      <c r="B16" s="214" t="s">
        <v>0</v>
      </c>
      <c r="C16" s="218" t="s">
        <v>128</v>
      </c>
      <c r="D16" s="218" t="s">
        <v>129</v>
      </c>
      <c r="E16" s="218" t="s">
        <v>17</v>
      </c>
      <c r="F16" s="218" t="s">
        <v>18</v>
      </c>
      <c r="G16" s="214" t="s">
        <v>130</v>
      </c>
      <c r="H16" s="214" t="s">
        <v>45</v>
      </c>
      <c r="I16" s="62" t="s">
        <v>33</v>
      </c>
      <c r="J16" s="62" t="s">
        <v>32</v>
      </c>
      <c r="K16" s="62" t="s">
        <v>31</v>
      </c>
      <c r="L16" s="62" t="s">
        <v>30</v>
      </c>
      <c r="M16" s="62" t="s">
        <v>29</v>
      </c>
      <c r="N16" s="62" t="s">
        <v>28</v>
      </c>
      <c r="O16" s="62" t="s">
        <v>55</v>
      </c>
      <c r="P16" s="218" t="s">
        <v>14</v>
      </c>
      <c r="Q16" s="218" t="s">
        <v>120</v>
      </c>
      <c r="R16" s="199" t="s">
        <v>228</v>
      </c>
      <c r="S16" s="199" t="s">
        <v>229</v>
      </c>
    </row>
    <row r="17" spans="2:19" s="255" customFormat="1" x14ac:dyDescent="0.25">
      <c r="B17" s="355"/>
      <c r="C17" s="360"/>
      <c r="D17" s="360"/>
      <c r="E17" s="359"/>
      <c r="F17" s="359"/>
      <c r="G17" s="360"/>
      <c r="H17" s="355"/>
      <c r="I17" s="351"/>
      <c r="J17" s="352"/>
      <c r="K17" s="351"/>
      <c r="L17" s="351"/>
      <c r="M17" s="349"/>
      <c r="N17" s="356"/>
      <c r="O17" s="351"/>
      <c r="P17" s="359"/>
      <c r="Q17" s="360"/>
      <c r="R17" s="358"/>
      <c r="S17" s="358"/>
    </row>
    <row r="18" spans="2:19" s="255" customFormat="1" x14ac:dyDescent="0.25">
      <c r="B18" s="355"/>
      <c r="C18" s="360"/>
      <c r="D18" s="360"/>
      <c r="E18" s="359"/>
      <c r="F18" s="359"/>
      <c r="G18" s="360"/>
      <c r="H18" s="355"/>
      <c r="I18" s="351"/>
      <c r="J18" s="352"/>
      <c r="K18" s="351"/>
      <c r="L18" s="351"/>
      <c r="M18" s="349"/>
      <c r="N18" s="356"/>
      <c r="O18" s="351"/>
      <c r="P18" s="359"/>
      <c r="Q18" s="360"/>
      <c r="R18" s="358"/>
      <c r="S18" s="358"/>
    </row>
    <row r="19" spans="2:19" s="255" customFormat="1" x14ac:dyDescent="0.25">
      <c r="B19" s="355"/>
      <c r="C19" s="360"/>
      <c r="D19" s="360"/>
      <c r="E19" s="359"/>
      <c r="F19" s="359"/>
      <c r="G19" s="360"/>
      <c r="H19" s="355"/>
      <c r="I19" s="351"/>
      <c r="J19" s="352"/>
      <c r="K19" s="351"/>
      <c r="L19" s="351"/>
      <c r="M19" s="349"/>
      <c r="N19" s="356"/>
      <c r="O19" s="351"/>
      <c r="P19" s="359"/>
      <c r="Q19" s="360"/>
      <c r="R19" s="358"/>
      <c r="S19" s="358"/>
    </row>
    <row r="20" spans="2:19" s="255" customFormat="1" x14ac:dyDescent="0.25">
      <c r="B20" s="355"/>
      <c r="C20" s="360"/>
      <c r="D20" s="360"/>
      <c r="E20" s="359"/>
      <c r="F20" s="359"/>
      <c r="G20" s="360"/>
      <c r="H20" s="355"/>
      <c r="I20" s="351"/>
      <c r="J20" s="352"/>
      <c r="K20" s="351"/>
      <c r="L20" s="351"/>
      <c r="M20" s="349"/>
      <c r="N20" s="356"/>
      <c r="O20" s="351"/>
      <c r="P20" s="359"/>
      <c r="Q20" s="360"/>
      <c r="R20" s="358"/>
      <c r="S20" s="358"/>
    </row>
    <row r="21" spans="2:19" s="255" customFormat="1" x14ac:dyDescent="0.25">
      <c r="B21" s="280"/>
      <c r="C21" s="250"/>
      <c r="D21" s="250"/>
      <c r="E21" s="282"/>
      <c r="F21" s="282"/>
      <c r="G21" s="250"/>
      <c r="H21" s="280"/>
      <c r="I21" s="246"/>
      <c r="J21" s="247"/>
      <c r="K21" s="246"/>
      <c r="L21" s="246"/>
      <c r="M21" s="245"/>
      <c r="N21" s="248"/>
      <c r="O21" s="246"/>
      <c r="P21" s="282"/>
      <c r="Q21" s="250"/>
      <c r="R21" s="279"/>
      <c r="S21" s="279"/>
    </row>
    <row r="22" spans="2:19" x14ac:dyDescent="0.25">
      <c r="B22" s="253" t="s">
        <v>136</v>
      </c>
      <c r="C22" s="269"/>
      <c r="D22" s="59"/>
      <c r="E22" s="59"/>
      <c r="F22" s="59"/>
      <c r="G22" s="59"/>
      <c r="H22" s="85"/>
      <c r="I22" s="105"/>
      <c r="J22" s="184"/>
      <c r="K22" s="59"/>
      <c r="L22" s="59"/>
      <c r="M22" s="85" t="s">
        <v>137</v>
      </c>
      <c r="N22" s="105"/>
      <c r="O22" s="269"/>
      <c r="P22" s="59"/>
      <c r="Q22" s="59"/>
      <c r="R22" s="73"/>
      <c r="S22" s="74"/>
    </row>
    <row r="23" spans="2:19" x14ac:dyDescent="0.25">
      <c r="B23" s="68"/>
      <c r="C23" s="69"/>
      <c r="D23" s="69"/>
      <c r="E23" s="69"/>
      <c r="F23" s="69"/>
      <c r="G23" s="69"/>
      <c r="H23" s="69"/>
      <c r="I23" s="69"/>
      <c r="J23" s="69"/>
      <c r="K23" s="69"/>
      <c r="L23" s="69"/>
      <c r="M23" s="69"/>
      <c r="N23" s="69"/>
      <c r="O23" s="69"/>
      <c r="P23" s="69"/>
      <c r="Q23" s="69"/>
      <c r="R23" s="69"/>
      <c r="S23" s="67"/>
    </row>
    <row r="24" spans="2:19" x14ac:dyDescent="0.25">
      <c r="B24" s="70"/>
      <c r="C24" s="71"/>
      <c r="D24" s="71"/>
      <c r="E24" s="71"/>
      <c r="F24" s="71"/>
      <c r="G24" s="71"/>
      <c r="H24" s="71"/>
      <c r="I24" s="71"/>
      <c r="J24" s="71"/>
      <c r="K24" s="71"/>
      <c r="L24" s="71"/>
      <c r="M24" s="71"/>
      <c r="N24" s="71"/>
      <c r="O24" s="71"/>
      <c r="P24" s="71"/>
      <c r="Q24" s="71"/>
      <c r="R24" s="71"/>
      <c r="S24" s="72"/>
    </row>
    <row r="25" spans="2:19" x14ac:dyDescent="0.25">
      <c r="B25" s="47" t="s">
        <v>152</v>
      </c>
      <c r="C25" s="51"/>
      <c r="D25" s="50"/>
      <c r="E25" s="50"/>
      <c r="F25" s="50"/>
      <c r="G25" s="50"/>
      <c r="H25" s="50"/>
      <c r="I25" s="50"/>
      <c r="J25" s="50"/>
      <c r="K25" s="50"/>
      <c r="L25" s="50"/>
      <c r="M25" s="50"/>
      <c r="N25" s="50"/>
      <c r="O25" s="50"/>
      <c r="P25" s="50"/>
      <c r="Q25" s="50"/>
      <c r="R25" s="50"/>
      <c r="S25" s="50"/>
    </row>
    <row r="26" spans="2:19" x14ac:dyDescent="0.25">
      <c r="B26" s="52" t="s">
        <v>154</v>
      </c>
      <c r="C26" s="48"/>
      <c r="D26" s="48"/>
      <c r="E26" s="225"/>
      <c r="F26" s="48"/>
      <c r="G26" s="48"/>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35"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view="pageLayout" topLeftCell="A52" zoomScaleNormal="80" workbookViewId="0">
      <selection activeCell="F79" sqref="F79"/>
    </sheetView>
  </sheetViews>
  <sheetFormatPr baseColWidth="10" defaultColWidth="11" defaultRowHeight="15" x14ac:dyDescent="0.25"/>
  <cols>
    <col min="1" max="1" width="3.5703125" style="1" customWidth="1"/>
    <col min="2" max="2" width="15.57031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41" t="s">
        <v>155</v>
      </c>
      <c r="C10" s="42"/>
      <c r="D10" s="42"/>
      <c r="E10" s="42"/>
      <c r="F10" s="42"/>
      <c r="G10" s="42"/>
      <c r="H10" s="42"/>
      <c r="I10" s="42"/>
      <c r="J10" s="42"/>
      <c r="K10" s="42"/>
      <c r="L10" s="42"/>
      <c r="M10" s="42"/>
      <c r="N10" s="42"/>
      <c r="O10" s="42"/>
      <c r="P10" s="42"/>
      <c r="Q10" s="42"/>
      <c r="R10" s="42"/>
      <c r="S10" s="264" t="str">
        <f>'A Y  II D3'!W9</f>
        <v>Entidad Federativa:</v>
      </c>
      <c r="T10" s="388" t="str">
        <f>'A Y  II D3'!X9</f>
        <v>GUANAJUATO</v>
      </c>
      <c r="U10" s="1"/>
    </row>
    <row r="11" spans="2:21" ht="18.75" x14ac:dyDescent="0.3">
      <c r="B11" s="418" t="str">
        <f>'A Y  II D3'!B10:N10</f>
        <v>Fondo de Aportaciones para la Educación Tecnológica y de Adultos/Instituto Nacional para la Educación de los Adultos (FAETA/INEA)</v>
      </c>
      <c r="C11" s="419"/>
      <c r="D11" s="419"/>
      <c r="E11" s="419"/>
      <c r="F11" s="419"/>
      <c r="G11" s="419"/>
      <c r="H11" s="419"/>
      <c r="I11" s="419"/>
      <c r="J11" s="419"/>
      <c r="K11" s="44"/>
      <c r="L11" s="44"/>
      <c r="M11" s="44"/>
      <c r="N11" s="44"/>
      <c r="O11" s="44"/>
      <c r="P11" s="44"/>
      <c r="Q11" s="44"/>
      <c r="R11" s="372" t="str">
        <f>'A Y  II D3'!X10</f>
        <v>3er. Trimestre 2019</v>
      </c>
      <c r="S11" s="262"/>
      <c r="T11" s="270"/>
      <c r="U11" s="1"/>
    </row>
    <row r="12" spans="2:21" x14ac:dyDescent="0.25">
      <c r="B12" s="37"/>
      <c r="C12" s="38"/>
      <c r="D12" s="38"/>
      <c r="E12" s="38"/>
      <c r="F12" s="38"/>
      <c r="G12" s="38"/>
      <c r="H12" s="38"/>
      <c r="I12" s="38"/>
      <c r="J12" s="38"/>
      <c r="K12" s="38"/>
      <c r="L12" s="38"/>
      <c r="M12" s="38"/>
      <c r="N12" s="38"/>
      <c r="O12" s="38"/>
      <c r="P12" s="38"/>
      <c r="Q12" s="38"/>
      <c r="R12" s="38"/>
      <c r="S12" s="38"/>
      <c r="T12" s="46"/>
      <c r="U12" s="1"/>
    </row>
    <row r="13" spans="2:21" ht="5.0999999999999996" customHeight="1" x14ac:dyDescent="0.25"/>
    <row r="14" spans="2:21" ht="15.4" customHeight="1" x14ac:dyDescent="0.25">
      <c r="B14" s="412" t="s">
        <v>0</v>
      </c>
      <c r="C14" s="440" t="s">
        <v>17</v>
      </c>
      <c r="D14" s="440" t="s">
        <v>18</v>
      </c>
      <c r="E14" s="440" t="s">
        <v>37</v>
      </c>
      <c r="F14" s="412" t="s">
        <v>45</v>
      </c>
      <c r="G14" s="471" t="s">
        <v>36</v>
      </c>
      <c r="H14" s="471"/>
      <c r="I14" s="471"/>
      <c r="J14" s="471"/>
      <c r="K14" s="471"/>
      <c r="L14" s="471"/>
      <c r="M14" s="471"/>
      <c r="N14" s="440" t="s">
        <v>119</v>
      </c>
      <c r="O14" s="440" t="s">
        <v>120</v>
      </c>
      <c r="P14" s="439" t="s">
        <v>15</v>
      </c>
      <c r="Q14" s="471" t="s">
        <v>121</v>
      </c>
      <c r="R14" s="471"/>
      <c r="S14" s="439" t="s">
        <v>132</v>
      </c>
      <c r="T14" s="439" t="s">
        <v>133</v>
      </c>
    </row>
    <row r="15" spans="2:21" ht="51" customHeight="1" x14ac:dyDescent="0.25">
      <c r="B15" s="412"/>
      <c r="C15" s="440"/>
      <c r="D15" s="440"/>
      <c r="E15" s="440"/>
      <c r="F15" s="412"/>
      <c r="G15" s="283" t="s">
        <v>33</v>
      </c>
      <c r="H15" s="283" t="s">
        <v>32</v>
      </c>
      <c r="I15" s="283" t="s">
        <v>31</v>
      </c>
      <c r="J15" s="283" t="s">
        <v>30</v>
      </c>
      <c r="K15" s="283" t="s">
        <v>29</v>
      </c>
      <c r="L15" s="284" t="s">
        <v>54</v>
      </c>
      <c r="M15" s="283" t="s">
        <v>55</v>
      </c>
      <c r="N15" s="440"/>
      <c r="O15" s="440"/>
      <c r="P15" s="439"/>
      <c r="Q15" s="287" t="s">
        <v>123</v>
      </c>
      <c r="R15" s="287" t="s">
        <v>124</v>
      </c>
      <c r="S15" s="439"/>
      <c r="T15" s="439"/>
    </row>
    <row r="16" spans="2:21" ht="5.0999999999999996" customHeight="1" x14ac:dyDescent="0.25"/>
    <row r="17" spans="2:21" ht="63.75" hidden="1" x14ac:dyDescent="0.25">
      <c r="B17" s="212" t="s">
        <v>0</v>
      </c>
      <c r="C17" s="217" t="s">
        <v>17</v>
      </c>
      <c r="D17" s="217" t="s">
        <v>18</v>
      </c>
      <c r="E17" s="217" t="s">
        <v>37</v>
      </c>
      <c r="F17" s="212" t="s">
        <v>45</v>
      </c>
      <c r="G17" s="197" t="s">
        <v>33</v>
      </c>
      <c r="H17" s="197" t="s">
        <v>32</v>
      </c>
      <c r="I17" s="197" t="s">
        <v>31</v>
      </c>
      <c r="J17" s="197" t="s">
        <v>30</v>
      </c>
      <c r="K17" s="197" t="s">
        <v>29</v>
      </c>
      <c r="L17" s="197" t="s">
        <v>28</v>
      </c>
      <c r="M17" s="197" t="s">
        <v>27</v>
      </c>
      <c r="N17" s="217" t="s">
        <v>119</v>
      </c>
      <c r="O17" s="217" t="s">
        <v>120</v>
      </c>
      <c r="P17" s="212" t="s">
        <v>15</v>
      </c>
      <c r="Q17" s="197" t="s">
        <v>231</v>
      </c>
      <c r="R17" s="197" t="s">
        <v>230</v>
      </c>
      <c r="S17" s="212" t="s">
        <v>132</v>
      </c>
      <c r="T17" s="212" t="s">
        <v>133</v>
      </c>
    </row>
    <row r="18" spans="2:21" s="255" customFormat="1" x14ac:dyDescent="0.25">
      <c r="B18" s="363" t="s">
        <v>774</v>
      </c>
      <c r="C18" s="363" t="s">
        <v>308</v>
      </c>
      <c r="D18" s="363" t="s">
        <v>309</v>
      </c>
      <c r="E18" s="363" t="s">
        <v>310</v>
      </c>
      <c r="F18" s="363" t="s">
        <v>327</v>
      </c>
      <c r="G18" s="363">
        <v>83101</v>
      </c>
      <c r="H18" s="363">
        <v>1</v>
      </c>
      <c r="I18" s="363">
        <v>7</v>
      </c>
      <c r="J18" s="363">
        <v>41</v>
      </c>
      <c r="K18" s="363" t="s">
        <v>317</v>
      </c>
      <c r="L18" s="363">
        <v>35</v>
      </c>
      <c r="M18" s="363">
        <v>235</v>
      </c>
      <c r="N18" s="380" t="s">
        <v>315</v>
      </c>
      <c r="O18" s="363" t="s">
        <v>1587</v>
      </c>
      <c r="P18" s="363">
        <v>100</v>
      </c>
      <c r="Q18" s="391">
        <v>43647</v>
      </c>
      <c r="R18" s="391">
        <v>43738</v>
      </c>
      <c r="S18" s="54">
        <v>35</v>
      </c>
      <c r="T18" s="280">
        <v>0</v>
      </c>
      <c r="U18" s="2"/>
    </row>
    <row r="19" spans="2:21" x14ac:dyDescent="0.25">
      <c r="B19" s="106" t="s">
        <v>136</v>
      </c>
      <c r="C19" s="269">
        <v>1</v>
      </c>
      <c r="D19" s="59"/>
      <c r="E19" s="59"/>
      <c r="F19" s="59"/>
      <c r="G19" s="59"/>
      <c r="H19" s="85"/>
      <c r="I19" s="105"/>
      <c r="J19" s="184"/>
      <c r="K19" s="85" t="s">
        <v>137</v>
      </c>
      <c r="L19" s="105"/>
      <c r="M19" s="269">
        <v>1</v>
      </c>
      <c r="P19" s="59"/>
      <c r="Q19" s="59"/>
      <c r="R19" s="59"/>
      <c r="S19" s="73"/>
      <c r="T19" s="74"/>
    </row>
    <row r="20" spans="2:21" x14ac:dyDescent="0.25">
      <c r="B20" s="68"/>
      <c r="C20" s="69"/>
      <c r="D20" s="69"/>
      <c r="E20" s="69"/>
      <c r="F20" s="69"/>
      <c r="G20" s="69"/>
      <c r="H20" s="69"/>
      <c r="I20" s="69"/>
      <c r="J20" s="69"/>
      <c r="K20" s="69"/>
      <c r="L20" s="69"/>
      <c r="M20" s="69"/>
      <c r="N20" s="69"/>
      <c r="O20" s="69"/>
      <c r="P20" s="69"/>
      <c r="Q20" s="69"/>
      <c r="R20" s="69"/>
      <c r="S20" s="69"/>
      <c r="T20" s="67"/>
    </row>
    <row r="21" spans="2:21" x14ac:dyDescent="0.25">
      <c r="B21" s="70"/>
      <c r="C21" s="71"/>
      <c r="D21" s="71"/>
      <c r="E21" s="237"/>
      <c r="F21" s="71"/>
      <c r="G21" s="71"/>
      <c r="H21" s="71"/>
      <c r="I21" s="71"/>
      <c r="J21" s="71"/>
      <c r="K21" s="71"/>
      <c r="L21" s="71"/>
      <c r="M21" s="71"/>
      <c r="N21" s="71"/>
      <c r="O21" s="71"/>
      <c r="P21" s="71"/>
      <c r="Q21" s="71"/>
      <c r="R21" s="71"/>
      <c r="S21" s="71"/>
      <c r="T21" s="72"/>
    </row>
    <row r="22" spans="2:21" x14ac:dyDescent="0.25">
      <c r="B22" s="47" t="s">
        <v>152</v>
      </c>
      <c r="C22" s="47"/>
      <c r="D22" s="48"/>
      <c r="E22" s="222"/>
      <c r="F22" s="49"/>
      <c r="G22" s="48"/>
      <c r="H22" s="48"/>
      <c r="I22" s="50"/>
      <c r="J22" s="50"/>
      <c r="K22" s="50"/>
      <c r="L22" s="50"/>
      <c r="M22" s="50"/>
      <c r="N22" s="50"/>
      <c r="O22" s="50"/>
      <c r="P22" s="50"/>
      <c r="Q22" s="50"/>
      <c r="R22" s="50"/>
      <c r="S22" s="50"/>
      <c r="T22" s="50"/>
    </row>
    <row r="23" spans="2:21" x14ac:dyDescent="0.25">
      <c r="E23" s="224"/>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disablePrompts="1"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44"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7"/>
  <sheetViews>
    <sheetView showGridLines="0" view="pageLayout" topLeftCell="A7" zoomScale="70" zoomScaleNormal="80" zoomScalePageLayoutView="70" workbookViewId="0">
      <selection activeCell="F79" sqref="F79"/>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91"/>
      <c r="R2" s="191"/>
      <c r="S2" s="191"/>
      <c r="T2" s="191"/>
    </row>
    <row r="3" spans="1:245" ht="15" customHeight="1" x14ac:dyDescent="0.25">
      <c r="Q3" s="191"/>
      <c r="R3" s="191"/>
      <c r="S3" s="191"/>
      <c r="T3" s="191"/>
    </row>
    <row r="4" spans="1:245" ht="15" customHeight="1" x14ac:dyDescent="0.25">
      <c r="Q4" s="191"/>
      <c r="R4" s="191"/>
      <c r="S4" s="191"/>
      <c r="T4" s="191"/>
    </row>
    <row r="5" spans="1:245" ht="15" customHeight="1" x14ac:dyDescent="0.25">
      <c r="Q5" s="191"/>
      <c r="R5" s="191"/>
      <c r="S5" s="191"/>
      <c r="T5" s="191"/>
    </row>
    <row r="6" spans="1:245" ht="15" customHeight="1" x14ac:dyDescent="0.25">
      <c r="Q6" s="191"/>
      <c r="R6" s="191"/>
      <c r="S6" s="191"/>
      <c r="T6" s="191"/>
    </row>
    <row r="7" spans="1:245" ht="15" customHeight="1" x14ac:dyDescent="0.25"/>
    <row r="8" spans="1:245" ht="15" customHeight="1" x14ac:dyDescent="0.25"/>
    <row r="10" spans="1:245" ht="18.75" x14ac:dyDescent="0.3">
      <c r="B10" s="41" t="s">
        <v>156</v>
      </c>
      <c r="C10" s="42"/>
      <c r="D10" s="42"/>
      <c r="E10" s="42"/>
      <c r="F10" s="42"/>
      <c r="G10" s="42"/>
      <c r="H10" s="42"/>
      <c r="I10" s="42"/>
      <c r="J10" s="42"/>
      <c r="K10" s="42"/>
      <c r="L10" s="42"/>
      <c r="M10" s="42"/>
      <c r="N10" s="42"/>
      <c r="O10" s="42"/>
      <c r="P10" s="42"/>
      <c r="Q10" s="42"/>
      <c r="R10" s="42"/>
      <c r="S10" s="264" t="str">
        <f>'A Y  II D3'!W9</f>
        <v>Entidad Federativa:</v>
      </c>
      <c r="T10" s="43" t="str">
        <f>'A Y  II D3'!X9</f>
        <v>GUANAJUATO</v>
      </c>
    </row>
    <row r="11" spans="1:245" ht="18.75" x14ac:dyDescent="0.3">
      <c r="B11" s="418" t="str">
        <f>'A Y  II D3'!B10:N10</f>
        <v>Fondo de Aportaciones para la Educación Tecnológica y de Adultos/Instituto Nacional para la Educación de los Adultos (FAETA/INEA)</v>
      </c>
      <c r="C11" s="419"/>
      <c r="D11" s="419"/>
      <c r="E11" s="419"/>
      <c r="F11" s="419"/>
      <c r="G11" s="419"/>
      <c r="H11" s="419"/>
      <c r="I11" s="419"/>
      <c r="J11" s="44"/>
      <c r="K11" s="44"/>
      <c r="L11" s="44"/>
      <c r="M11" s="44"/>
      <c r="N11" s="44"/>
      <c r="O11" s="44"/>
      <c r="P11" s="44"/>
      <c r="Q11" s="44"/>
      <c r="R11" s="44"/>
      <c r="S11" s="262" t="str">
        <f>'A Y  II D3'!X10</f>
        <v>3er. Trimestre 2019</v>
      </c>
      <c r="T11" s="366"/>
    </row>
    <row r="12" spans="1:245" x14ac:dyDescent="0.25">
      <c r="B12" s="37"/>
      <c r="C12" s="38"/>
      <c r="D12" s="38"/>
      <c r="E12" s="38"/>
      <c r="F12" s="38"/>
      <c r="G12" s="38"/>
      <c r="H12" s="38"/>
      <c r="I12" s="38"/>
      <c r="J12" s="38"/>
      <c r="K12" s="38"/>
      <c r="L12" s="38"/>
      <c r="M12" s="38"/>
      <c r="N12" s="38"/>
      <c r="O12" s="38"/>
      <c r="P12" s="38"/>
      <c r="Q12" s="38"/>
      <c r="R12" s="38"/>
      <c r="S12" s="38"/>
      <c r="T12" s="46"/>
    </row>
    <row r="13" spans="1:245" ht="5.0999999999999996" customHeight="1" x14ac:dyDescent="0.25">
      <c r="B13" s="33"/>
      <c r="C13" s="34"/>
      <c r="D13" s="34"/>
      <c r="E13" s="34"/>
      <c r="F13" s="473"/>
      <c r="G13" s="473"/>
      <c r="H13" s="473"/>
      <c r="I13" s="473"/>
      <c r="J13" s="473"/>
      <c r="K13" s="473"/>
      <c r="L13" s="473"/>
      <c r="M13" s="35"/>
      <c r="N13" s="35"/>
    </row>
    <row r="14" spans="1:245" s="11" customFormat="1" ht="22.7" customHeight="1" x14ac:dyDescent="0.2">
      <c r="A14" s="10"/>
      <c r="B14" s="412" t="s">
        <v>0</v>
      </c>
      <c r="C14" s="439" t="s">
        <v>44</v>
      </c>
      <c r="D14" s="439" t="s">
        <v>18</v>
      </c>
      <c r="E14" s="439" t="s">
        <v>37</v>
      </c>
      <c r="F14" s="412" t="s">
        <v>45</v>
      </c>
      <c r="G14" s="440" t="s">
        <v>118</v>
      </c>
      <c r="H14" s="440"/>
      <c r="I14" s="440"/>
      <c r="J14" s="440"/>
      <c r="K14" s="440"/>
      <c r="L14" s="440"/>
      <c r="M14" s="440"/>
      <c r="N14" s="412" t="s">
        <v>47</v>
      </c>
      <c r="O14" s="439" t="s">
        <v>120</v>
      </c>
      <c r="P14" s="439" t="s">
        <v>121</v>
      </c>
      <c r="Q14" s="440"/>
      <c r="R14" s="439" t="s">
        <v>125</v>
      </c>
      <c r="S14" s="439" t="s">
        <v>126</v>
      </c>
      <c r="T14" s="439" t="s">
        <v>127</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row>
    <row r="15" spans="1:245" s="11" customFormat="1" ht="79.5" customHeight="1" x14ac:dyDescent="0.2">
      <c r="A15" s="10"/>
      <c r="B15" s="412"/>
      <c r="C15" s="439"/>
      <c r="D15" s="439"/>
      <c r="E15" s="439"/>
      <c r="F15" s="412"/>
      <c r="G15" s="283" t="s">
        <v>33</v>
      </c>
      <c r="H15" s="283" t="s">
        <v>32</v>
      </c>
      <c r="I15" s="283" t="s">
        <v>31</v>
      </c>
      <c r="J15" s="283" t="s">
        <v>30</v>
      </c>
      <c r="K15" s="283" t="s">
        <v>29</v>
      </c>
      <c r="L15" s="284" t="s">
        <v>54</v>
      </c>
      <c r="M15" s="283" t="s">
        <v>55</v>
      </c>
      <c r="N15" s="412"/>
      <c r="O15" s="439"/>
      <c r="P15" s="286" t="s">
        <v>123</v>
      </c>
      <c r="Q15" s="287" t="s">
        <v>124</v>
      </c>
      <c r="R15" s="439"/>
      <c r="S15" s="439"/>
      <c r="T15" s="439"/>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row>
    <row r="16" spans="1:245" ht="5.0999999999999996" customHeight="1" x14ac:dyDescent="0.25"/>
    <row r="17" spans="2:20" ht="38.25" hidden="1" x14ac:dyDescent="0.25">
      <c r="B17" s="219" t="s">
        <v>0</v>
      </c>
      <c r="C17" s="219" t="s">
        <v>44</v>
      </c>
      <c r="D17" s="219" t="s">
        <v>18</v>
      </c>
      <c r="E17" s="219" t="s">
        <v>37</v>
      </c>
      <c r="F17" s="219" t="s">
        <v>45</v>
      </c>
      <c r="G17" s="201" t="s">
        <v>33</v>
      </c>
      <c r="H17" s="201" t="s">
        <v>32</v>
      </c>
      <c r="I17" s="201" t="s">
        <v>31</v>
      </c>
      <c r="J17" s="201" t="s">
        <v>30</v>
      </c>
      <c r="K17" s="201" t="s">
        <v>29</v>
      </c>
      <c r="L17" s="201" t="s">
        <v>54</v>
      </c>
      <c r="M17" s="201" t="s">
        <v>122</v>
      </c>
      <c r="N17" s="220" t="s">
        <v>119</v>
      </c>
      <c r="O17" s="219" t="s">
        <v>120</v>
      </c>
      <c r="P17" s="201" t="s">
        <v>231</v>
      </c>
      <c r="Q17" s="201" t="s">
        <v>230</v>
      </c>
      <c r="R17" s="219" t="s">
        <v>125</v>
      </c>
      <c r="S17" s="219" t="s">
        <v>126</v>
      </c>
      <c r="T17" s="219" t="s">
        <v>127</v>
      </c>
    </row>
    <row r="18" spans="2:20" s="255" customFormat="1" x14ac:dyDescent="0.25">
      <c r="B18" s="355"/>
      <c r="C18" s="355"/>
      <c r="D18" s="355"/>
      <c r="E18" s="360"/>
      <c r="F18" s="355"/>
      <c r="G18" s="351"/>
      <c r="H18" s="352"/>
      <c r="I18" s="351"/>
      <c r="J18" s="351"/>
      <c r="K18" s="349"/>
      <c r="L18" s="356"/>
      <c r="M18" s="351"/>
      <c r="N18" s="359"/>
      <c r="O18" s="355"/>
      <c r="P18" s="358"/>
      <c r="Q18" s="358"/>
      <c r="R18" s="355"/>
      <c r="S18" s="355"/>
      <c r="T18" s="355"/>
    </row>
    <row r="19" spans="2:20" s="255" customFormat="1" x14ac:dyDescent="0.25">
      <c r="B19" s="355"/>
      <c r="C19" s="355"/>
      <c r="D19" s="355"/>
      <c r="E19" s="360"/>
      <c r="F19" s="355"/>
      <c r="G19" s="351"/>
      <c r="H19" s="352"/>
      <c r="I19" s="351"/>
      <c r="J19" s="351"/>
      <c r="K19" s="349"/>
      <c r="L19" s="356"/>
      <c r="M19" s="351"/>
      <c r="N19" s="359"/>
      <c r="O19" s="355"/>
      <c r="P19" s="358"/>
      <c r="Q19" s="358"/>
      <c r="R19" s="355"/>
      <c r="S19" s="355"/>
      <c r="T19" s="355"/>
    </row>
    <row r="20" spans="2:20" s="255" customFormat="1" x14ac:dyDescent="0.25">
      <c r="B20" s="355"/>
      <c r="C20" s="355"/>
      <c r="D20" s="355"/>
      <c r="E20" s="360"/>
      <c r="F20" s="355"/>
      <c r="G20" s="351"/>
      <c r="H20" s="352"/>
      <c r="I20" s="351"/>
      <c r="J20" s="351"/>
      <c r="K20" s="349"/>
      <c r="L20" s="356"/>
      <c r="M20" s="351"/>
      <c r="N20" s="359"/>
      <c r="O20" s="355"/>
      <c r="P20" s="358"/>
      <c r="Q20" s="358"/>
      <c r="R20" s="355"/>
      <c r="S20" s="355"/>
      <c r="T20" s="355"/>
    </row>
    <row r="21" spans="2:20" s="255" customFormat="1" x14ac:dyDescent="0.25">
      <c r="B21" s="355"/>
      <c r="C21" s="355"/>
      <c r="D21" s="355"/>
      <c r="E21" s="360"/>
      <c r="F21" s="355"/>
      <c r="G21" s="351"/>
      <c r="H21" s="352"/>
      <c r="I21" s="351"/>
      <c r="J21" s="351"/>
      <c r="K21" s="349"/>
      <c r="L21" s="356"/>
      <c r="M21" s="351"/>
      <c r="N21" s="359"/>
      <c r="O21" s="355"/>
      <c r="P21" s="358"/>
      <c r="Q21" s="358"/>
      <c r="R21" s="355"/>
      <c r="S21" s="355"/>
      <c r="T21" s="355"/>
    </row>
    <row r="22" spans="2:20" s="255" customFormat="1" x14ac:dyDescent="0.25">
      <c r="B22" s="280"/>
      <c r="C22" s="280"/>
      <c r="D22" s="280"/>
      <c r="E22" s="250"/>
      <c r="F22" s="280"/>
      <c r="G22" s="246"/>
      <c r="H22" s="309"/>
      <c r="I22" s="246"/>
      <c r="J22" s="246"/>
      <c r="K22" s="245"/>
      <c r="L22" s="310"/>
      <c r="M22" s="246"/>
      <c r="N22" s="282"/>
      <c r="O22" s="280"/>
      <c r="P22" s="311"/>
      <c r="Q22" s="311"/>
      <c r="R22" s="280"/>
      <c r="S22" s="280"/>
      <c r="T22" s="280"/>
    </row>
    <row r="23" spans="2:20" x14ac:dyDescent="0.25">
      <c r="B23" s="106" t="s">
        <v>136</v>
      </c>
      <c r="C23" s="252"/>
      <c r="D23" s="99"/>
      <c r="E23" s="173"/>
      <c r="F23" s="99"/>
      <c r="G23" s="99"/>
      <c r="H23" s="99"/>
      <c r="I23" s="99"/>
      <c r="J23" s="99"/>
      <c r="K23" s="99"/>
      <c r="L23" s="99"/>
      <c r="M23" s="99"/>
      <c r="N23" s="99"/>
      <c r="O23" s="177" t="s">
        <v>200</v>
      </c>
      <c r="Q23" s="99"/>
      <c r="R23" s="226"/>
      <c r="S23" s="99"/>
      <c r="T23" s="100"/>
    </row>
    <row r="24" spans="2:20" x14ac:dyDescent="0.25">
      <c r="B24" s="101"/>
      <c r="C24" s="75"/>
      <c r="D24" s="75"/>
      <c r="E24" s="84"/>
      <c r="F24" s="75"/>
      <c r="G24" s="75"/>
      <c r="H24" s="75"/>
      <c r="I24" s="75"/>
      <c r="J24" s="75"/>
      <c r="K24" s="75"/>
      <c r="L24" s="75"/>
      <c r="M24" s="75"/>
      <c r="N24" s="75"/>
      <c r="O24" s="75"/>
      <c r="P24" s="75"/>
      <c r="Q24" s="75"/>
      <c r="R24" s="75"/>
      <c r="S24" s="75"/>
      <c r="T24" s="102"/>
    </row>
    <row r="25" spans="2:20" x14ac:dyDescent="0.25">
      <c r="B25" s="101"/>
      <c r="C25" s="75"/>
      <c r="D25" s="75"/>
      <c r="E25" s="84"/>
      <c r="F25" s="75"/>
      <c r="G25" s="75"/>
      <c r="H25" s="75"/>
      <c r="I25" s="75"/>
      <c r="J25" s="75"/>
      <c r="K25" s="75"/>
      <c r="L25" s="75"/>
      <c r="M25" s="75"/>
      <c r="N25" s="75"/>
      <c r="O25" s="75"/>
      <c r="P25" s="75"/>
      <c r="Q25" s="75"/>
      <c r="R25" s="85" t="s">
        <v>201</v>
      </c>
      <c r="S25" s="75"/>
      <c r="T25" s="154"/>
    </row>
    <row r="26" spans="2:20" x14ac:dyDescent="0.25">
      <c r="B26" s="192"/>
      <c r="C26" s="186"/>
      <c r="D26" s="187"/>
      <c r="E26" s="235"/>
      <c r="F26" s="188"/>
      <c r="G26" s="187"/>
      <c r="H26" s="187"/>
      <c r="I26" s="189"/>
      <c r="J26" s="189"/>
      <c r="K26" s="189"/>
      <c r="L26" s="189"/>
      <c r="M26" s="189"/>
      <c r="N26" s="189"/>
      <c r="O26" s="189"/>
      <c r="P26" s="189"/>
      <c r="Q26" s="189"/>
      <c r="R26" s="189"/>
      <c r="S26" s="189"/>
      <c r="T26" s="190"/>
    </row>
    <row r="27" spans="2:20" x14ac:dyDescent="0.25">
      <c r="B27" s="268" t="s">
        <v>152</v>
      </c>
      <c r="E27" s="224"/>
    </row>
  </sheetData>
  <mergeCells count="14">
    <mergeCell ref="T14:T15"/>
    <mergeCell ref="N14:N15"/>
    <mergeCell ref="O14:O15"/>
    <mergeCell ref="P14:Q14"/>
    <mergeCell ref="R14:R15"/>
    <mergeCell ref="S14:S15"/>
    <mergeCell ref="B11:I11"/>
    <mergeCell ref="F13:L13"/>
    <mergeCell ref="B14:B15"/>
    <mergeCell ref="C14:C15"/>
    <mergeCell ref="D14:D15"/>
    <mergeCell ref="E14:E15"/>
    <mergeCell ref="F14:F15"/>
    <mergeCell ref="G14:M14"/>
  </mergeCells>
  <dataValidations disablePrompts="1"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63" t="s">
        <v>253</v>
      </c>
    </row>
    <row r="5" spans="2:8" x14ac:dyDescent="0.25">
      <c r="B5" t="s">
        <v>157</v>
      </c>
    </row>
    <row r="6" spans="2:8" x14ac:dyDescent="0.25">
      <c r="B6" t="s">
        <v>251</v>
      </c>
    </row>
    <row r="7" spans="2:8" x14ac:dyDescent="0.25">
      <c r="B7" t="s">
        <v>252</v>
      </c>
    </row>
    <row r="10" spans="2:8" x14ac:dyDescent="0.25">
      <c r="H10" s="263" t="s">
        <v>296</v>
      </c>
    </row>
    <row r="11" spans="2:8" x14ac:dyDescent="0.25">
      <c r="B11" s="263" t="s">
        <v>254</v>
      </c>
      <c r="H11" s="254" t="s">
        <v>264</v>
      </c>
    </row>
    <row r="12" spans="2:8" x14ac:dyDescent="0.25">
      <c r="B12" t="s">
        <v>260</v>
      </c>
      <c r="H12" s="254" t="s">
        <v>265</v>
      </c>
    </row>
    <row r="13" spans="2:8" x14ac:dyDescent="0.25">
      <c r="B13" t="s">
        <v>261</v>
      </c>
      <c r="H13" s="254" t="s">
        <v>266</v>
      </c>
    </row>
    <row r="14" spans="2:8" x14ac:dyDescent="0.25">
      <c r="B14" t="s">
        <v>262</v>
      </c>
      <c r="H14" s="254" t="s">
        <v>267</v>
      </c>
    </row>
    <row r="15" spans="2:8" x14ac:dyDescent="0.25">
      <c r="B15" t="s">
        <v>263</v>
      </c>
      <c r="H15" s="254" t="s">
        <v>268</v>
      </c>
    </row>
    <row r="16" spans="2:8" x14ac:dyDescent="0.25">
      <c r="D16" s="263" t="s">
        <v>297</v>
      </c>
      <c r="H16" s="254" t="s">
        <v>269</v>
      </c>
    </row>
    <row r="17" spans="4:8" x14ac:dyDescent="0.25">
      <c r="D17">
        <v>2013</v>
      </c>
      <c r="H17" s="254" t="s">
        <v>270</v>
      </c>
    </row>
    <row r="18" spans="4:8" x14ac:dyDescent="0.25">
      <c r="D18">
        <v>2014</v>
      </c>
      <c r="H18" s="254" t="s">
        <v>271</v>
      </c>
    </row>
    <row r="19" spans="4:8" x14ac:dyDescent="0.25">
      <c r="D19">
        <v>2015</v>
      </c>
      <c r="H19" s="254" t="s">
        <v>272</v>
      </c>
    </row>
    <row r="20" spans="4:8" x14ac:dyDescent="0.25">
      <c r="D20">
        <v>2016</v>
      </c>
      <c r="H20" s="254" t="s">
        <v>273</v>
      </c>
    </row>
    <row r="21" spans="4:8" x14ac:dyDescent="0.25">
      <c r="D21">
        <v>2017</v>
      </c>
      <c r="H21" s="254" t="s">
        <v>274</v>
      </c>
    </row>
    <row r="22" spans="4:8" x14ac:dyDescent="0.25">
      <c r="D22">
        <v>2018</v>
      </c>
      <c r="H22" s="254" t="s">
        <v>275</v>
      </c>
    </row>
    <row r="23" spans="4:8" x14ac:dyDescent="0.25">
      <c r="H23" s="254" t="s">
        <v>276</v>
      </c>
    </row>
    <row r="24" spans="4:8" x14ac:dyDescent="0.25">
      <c r="H24" s="254" t="s">
        <v>277</v>
      </c>
    </row>
    <row r="25" spans="4:8" x14ac:dyDescent="0.25">
      <c r="H25" s="254" t="s">
        <v>278</v>
      </c>
    </row>
    <row r="26" spans="4:8" x14ac:dyDescent="0.25">
      <c r="H26" s="254" t="s">
        <v>279</v>
      </c>
    </row>
    <row r="27" spans="4:8" x14ac:dyDescent="0.25">
      <c r="H27" s="254" t="s">
        <v>280</v>
      </c>
    </row>
    <row r="28" spans="4:8" x14ac:dyDescent="0.25">
      <c r="H28" s="254" t="s">
        <v>281</v>
      </c>
    </row>
    <row r="29" spans="4:8" x14ac:dyDescent="0.25">
      <c r="H29" s="254" t="s">
        <v>282</v>
      </c>
    </row>
    <row r="30" spans="4:8" x14ac:dyDescent="0.25">
      <c r="H30" s="254" t="s">
        <v>283</v>
      </c>
    </row>
    <row r="31" spans="4:8" x14ac:dyDescent="0.25">
      <c r="H31" s="254" t="s">
        <v>284</v>
      </c>
    </row>
    <row r="32" spans="4:8" x14ac:dyDescent="0.25">
      <c r="H32" s="254" t="s">
        <v>285</v>
      </c>
    </row>
    <row r="33" spans="8:8" x14ac:dyDescent="0.25">
      <c r="H33" s="254" t="s">
        <v>286</v>
      </c>
    </row>
    <row r="34" spans="8:8" x14ac:dyDescent="0.25">
      <c r="H34" s="254" t="s">
        <v>287</v>
      </c>
    </row>
    <row r="35" spans="8:8" x14ac:dyDescent="0.25">
      <c r="H35" s="254" t="s">
        <v>288</v>
      </c>
    </row>
    <row r="36" spans="8:8" x14ac:dyDescent="0.25">
      <c r="H36" s="254" t="s">
        <v>289</v>
      </c>
    </row>
    <row r="37" spans="8:8" x14ac:dyDescent="0.25">
      <c r="H37" s="254" t="s">
        <v>290</v>
      </c>
    </row>
    <row r="38" spans="8:8" x14ac:dyDescent="0.25">
      <c r="H38" s="254" t="s">
        <v>291</v>
      </c>
    </row>
    <row r="39" spans="8:8" x14ac:dyDescent="0.25">
      <c r="H39" s="254" t="s">
        <v>292</v>
      </c>
    </row>
    <row r="40" spans="8:8" x14ac:dyDescent="0.25">
      <c r="H40" s="254" t="s">
        <v>293</v>
      </c>
    </row>
    <row r="41" spans="8:8" x14ac:dyDescent="0.25">
      <c r="H41" s="254" t="s">
        <v>294</v>
      </c>
    </row>
    <row r="42" spans="8:8" x14ac:dyDescent="0.25">
      <c r="H42" s="254" t="s">
        <v>295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16</vt:i4>
      </vt:variant>
    </vt:vector>
  </HeadingPairs>
  <TitlesOfParts>
    <vt:vector size="34" baseType="lpstr">
      <vt:lpstr>Caratula Resumen</vt:lpstr>
      <vt:lpstr>A Y  II D3</vt:lpstr>
      <vt:lpstr>A Y II D4</vt:lpstr>
      <vt:lpstr>B)</vt:lpstr>
      <vt:lpstr>II B) Y 1</vt:lpstr>
      <vt:lpstr>II C y 1_</vt:lpstr>
      <vt:lpstr>MOVIMIENTO DE PERSONAL POR CENT</vt:lpstr>
      <vt:lpstr>II D) 4</vt:lpstr>
      <vt:lpstr>II D) 4 A</vt:lpstr>
      <vt:lpstr>II D) 6</vt:lpstr>
      <vt:lpstr>II D) 7 1</vt:lpstr>
      <vt:lpstr>II D) 7 2 </vt:lpstr>
      <vt:lpstr>II D) 7 3</vt:lpstr>
      <vt:lpstr>E)</vt:lpstr>
      <vt:lpstr>F) 1</vt:lpstr>
      <vt:lpstr>F) 2</vt:lpstr>
      <vt:lpstr>G)</vt:lpstr>
      <vt:lpstr>Listas</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4'!Títulos_a_imprimir</vt:lpstr>
      <vt:lpstr>'II D) 4 A'!Títulos_a_imprimir</vt:lpstr>
      <vt:lpstr>'II D) 6'!Títulos_a_imprimir</vt:lpstr>
      <vt:lpstr>'II D) 7 1'!Títulos_a_imprimir</vt:lpstr>
      <vt:lpstr>'II D) 7 2 '!Títulos_a_imprimir</vt:lpstr>
      <vt:lpstr>'II D) 7 3'!Títulos_a_imprimir</vt:lpstr>
      <vt:lpstr>'MOVIMIENTO DE PERSONAL POR CENT'!Títulos_a_imprimir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Montserrat Quijas Gomez</cp:lastModifiedBy>
  <cp:lastPrinted>2019-10-21T17:58:30Z</cp:lastPrinted>
  <dcterms:created xsi:type="dcterms:W3CDTF">2013-02-12T18:26:48Z</dcterms:created>
  <dcterms:modified xsi:type="dcterms:W3CDTF">2019-10-21T17:58:37Z</dcterms:modified>
</cp:coreProperties>
</file>